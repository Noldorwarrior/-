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3"/>
    <sheet name="ФОТ_B_v6" sheetId="2" state="visible" r:id="rId4"/>
    <sheet name="TCV_Детализация" sheetId="3" state="visible" r:id="rId5"/>
    <sheet name="TCV_Сценарии" sheetId="4" state="visible" r:id="rId6"/>
    <sheet name="Sensitivity" sheetId="5" state="visible" r:id="rId7"/>
    <sheet name="KPI_Структура" sheetId="6" state="visible" r:id="rId8"/>
    <sheet name="Перс_KPI_Матрица" sheetId="7" state="visible" r:id="rId9"/>
    <sheet name="Дорожная_карта" sheetId="8" state="visible" r:id="rId10"/>
    <sheet name="Change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<sst xmlns="http://schemas.openxmlformats.org/spreadsheetml/2006/main" count="646" uniqueCount="473">
  <si>
    <t xml:space="preserve">ПАРАМЕТРЫ МОДЕЛИ ЦПИКП v3</t>
  </si>
  <si>
    <t xml:space="preserve">--- Общие параметры ---</t>
  </si>
  <si>
    <t xml:space="preserve">Горизонт, лет</t>
  </si>
  <si>
    <t xml:space="preserve">Ставка дисконтирования (r)</t>
  </si>
  <si>
    <t xml:space="preserve">Проектная: ОФЗ-10Y + 2%</t>
  </si>
  <si>
    <t xml:space="preserve">Страховые взносы</t>
  </si>
  <si>
    <t xml:space="preserve">30,2%</t>
  </si>
  <si>
    <t xml:space="preserve">Индексация OPEX, %/год</t>
  </si>
  <si>
    <t xml:space="preserve">+5% ежегодно</t>
  </si>
  <si>
    <t xml:space="preserve">OPEX Год 1, тыс.</t>
  </si>
  <si>
    <t xml:space="preserve">Источник: Реестр Решений №8</t>
  </si>
  <si>
    <t xml:space="preserve">--- Штат по фазам ---</t>
  </si>
  <si>
    <t xml:space="preserve">Штат Фаза 1 (Год 1-2)</t>
  </si>
  <si>
    <t xml:space="preserve">Штат Фаза 2 (Год 3-5)</t>
  </si>
  <si>
    <t xml:space="preserve">+7 чел.</t>
  </si>
  <si>
    <t xml:space="preserve">Штат Фаза 3 (Год 6-10)</t>
  </si>
  <si>
    <t xml:space="preserve">+3 чел.</t>
  </si>
  <si>
    <t xml:space="preserve">--- Множители переменной ---</t>
  </si>
  <si>
    <t xml:space="preserve">Множитель Год 1 (80/20)</t>
  </si>
  <si>
    <t xml:space="preserve">Перем. = Фикс × 0,25</t>
  </si>
  <si>
    <t xml:space="preserve">Множитель Год 2 (60/40)</t>
  </si>
  <si>
    <t xml:space="preserve">Перем. = Фикс × 0,67</t>
  </si>
  <si>
    <t xml:space="preserve">Множитель Год 3+ (40/60)</t>
  </si>
  <si>
    <t xml:space="preserve">Перем. = Фикс × 1,50</t>
  </si>
  <si>
    <t xml:space="preserve">--- Ставки Cash-in (BASE) ---</t>
  </si>
  <si>
    <t xml:space="preserve">Группа А (Росатом, ДПО, гранты)</t>
  </si>
  <si>
    <t xml:space="preserve">Консервативная оценка</t>
  </si>
  <si>
    <t xml:space="preserve">Группа Б (НИОКР, лицензирование)</t>
  </si>
  <si>
    <t xml:space="preserve">Группа В (фандрайзинг, спин-оффы)</t>
  </si>
  <si>
    <t xml:space="preserve">--- Ставки Cash-in (SENSITIVITY) ---</t>
  </si>
  <si>
    <t xml:space="preserve">Группа А (sensitivity)</t>
  </si>
  <si>
    <t xml:space="preserve">Из Реестра Решений</t>
  </si>
  <si>
    <t xml:space="preserve">Группа Б (sensitivity)</t>
  </si>
  <si>
    <t xml:space="preserve">Группа В (sensitivity)</t>
  </si>
  <si>
    <t xml:space="preserve">--- Сценарные коэффициенты ---</t>
  </si>
  <si>
    <t xml:space="preserve">Пессимистичный (×TCV)</t>
  </si>
  <si>
    <t xml:space="preserve">Оптимистичный (×TCV)</t>
  </si>
  <si>
    <t xml:space="preserve">Санкционный стресс (×TCV)</t>
  </si>
  <si>
    <t xml:space="preserve">--- Baseline (Net New) ---</t>
  </si>
  <si>
    <t xml:space="preserve">Baseline TCV, млн/год</t>
  </si>
  <si>
    <t xml:space="preserve">Текущий уровень без ЦПИКП</t>
  </si>
  <si>
    <t xml:space="preserve">--- NPV sensitivity ставки ---</t>
  </si>
  <si>
    <t xml:space="preserve">r low</t>
  </si>
  <si>
    <t xml:space="preserve">r base</t>
  </si>
  <si>
    <t xml:space="preserve">основная ставка</t>
  </si>
  <si>
    <t xml:space="preserve">r mid</t>
  </si>
  <si>
    <t xml:space="preserve">r high</t>
  </si>
  <si>
    <t xml:space="preserve">Ключевая ставка ЦБ</t>
  </si>
  <si>
    <t xml:space="preserve">Параметр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</si>
  <si>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</si>
  <si>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</si>
  <si>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</si>
  <si>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</si>
  <si>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</si>
  <si>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Год 6</t>
  </si>
  <si>
    <t xml:space="preserve">Год 7</t>
  </si>
  <si>
    <t xml:space="preserve">Год 8</t>
  </si>
  <si>
    <t xml:space="preserve">Год 9</t>
  </si>
  <si>
    <t xml:space="preserve">Год 10</t>
  </si>
  <si>
    <t xml:space="preserve">ИТОГО</t>
  </si>
  <si>
    <t xml:space="preserve">Штат, чел.</t>
  </si>
  <si>
    <t xml:space="preserve">Фикс./перем.</t>
  </si>
  <si>
    <t xml:space="preserve">80/20</t>
  </si>
  <si>
    <t xml:space="preserve">60/40</t>
  </si>
  <si>
    <t xml:space="preserve">40/60</t>
  </si>
  <si>
    <t xml:space="preserve">Перем. множ.</t>
  </si>
  <si>
    <t xml:space="preserve">×0,25</t>
  </si>
  <si>
    <t xml:space="preserve">×0,67</t>
  </si>
  <si>
    <t xml:space="preserve">×1,50</t>
  </si>
  <si>
    <t xml:space="preserve">ФОТ баз. (100%), тыс.</t>
  </si>
  <si>
    <t xml:space="preserve">ФОТ итог. (+30,2%), тыс.</t>
  </si>
  <si>
    <t xml:space="preserve">OPEX, тыс.</t>
  </si>
  <si>
    <t xml:space="preserve">ИТОГО затраты, тыс.</t>
  </si>
  <si>
    <t xml:space="preserve">Хедж (0% KPI), тыс.</t>
  </si>
  <si>
    <t xml:space="preserve">Ср. комп./мес., тыс.</t>
  </si>
  <si>
    <t xml:space="preserve">Налоги ООО (оценка), тыс.</t>
  </si>
  <si>
    <t xml:space="preserve">Затраты с налогами, тыс.</t>
  </si>
  <si>
    <t xml:space="preserve">Росатом: стратег. развитие [Гр.А]</t>
  </si>
  <si>
    <t xml:space="preserve">Прирост НИОКР (частный) [Гр.Б]</t>
  </si>
  <si>
    <t xml:space="preserve">Инвестиции и гранты [Гр.А]</t>
  </si>
  <si>
    <t xml:space="preserve">Корпоративное ДПО [Гр.А]</t>
  </si>
  <si>
    <t xml:space="preserve">Лицензирование [Гр.Б]</t>
  </si>
  <si>
    <t xml:space="preserve">Корп. фандрайзинг [Гр.В]</t>
  </si>
  <si>
    <t xml:space="preserve">Спин-оффы [Гр.В]</t>
  </si>
  <si>
    <t xml:space="preserve">ИТОГО TCV, млн</t>
  </si>
  <si>
    <t xml:space="preserve">Группа А TCV (Росатом+ДПО+Гранты)</t>
  </si>
  <si>
    <t xml:space="preserve">Группа Б TCV (НИОКР+Лиценз.)</t>
  </si>
  <si>
    <t xml:space="preserve">Группа В TCV (Фандр.+Спин-оффы)</t>
  </si>
  <si>
    <t xml:space="preserve">Cash-in А (BASE)</t>
  </si>
  <si>
    <t xml:space="preserve">Cash-in Б (BASE)</t>
  </si>
  <si>
    <t xml:space="preserve">Cash-in В (BASE)</t>
  </si>
  <si>
    <t xml:space="preserve">ИТОГО Cash-in (BASE), млн</t>
  </si>
  <si>
    <t xml:space="preserve">Ср.взв. ставка CI</t>
  </si>
  <si>
    <t xml:space="preserve">--- SENSITIVITY (75/50/25) ---</t>
  </si>
  <si>
    <t xml:space="preserve">Cash-in А (SENS)</t>
  </si>
  <si>
    <t xml:space="preserve">Cash-in Б (SENS)</t>
  </si>
  <si>
    <t xml:space="preserve">Cash-in В (SENS)</t>
  </si>
  <si>
    <t xml:space="preserve">ИТОГО Cash-in (SENS), млн</t>
  </si>
  <si>
    <t xml:space="preserve">Ср.взв. ставка SENS</t>
  </si>
  <si>
    <t xml:space="preserve">TCV базовый, млн</t>
  </si>
  <si>
    <t xml:space="preserve">Cash-in (BASE А60/Б45/В20%), млн</t>
  </si>
  <si>
    <t xml:space="preserve">Затраты, тыс.</t>
  </si>
  <si>
    <t xml:space="preserve">ROI (TCV), % [=(TCV×1000−Затр)/Затр×100]</t>
  </si>
  <si>
    <t xml:space="preserve">Мультипликатор (TCV)</t>
  </si>
  <si>
    <t xml:space="preserve">Кумул. TCV, млрд</t>
  </si>
  <si>
    <t xml:space="preserve">Кумул. Cash-in, млрд</t>
  </si>
  <si>
    <t xml:space="preserve">--- Сценарии TCV ---</t>
  </si>
  <si>
    <t xml:space="preserve">Пессимист. TCV (×коэфф.), млн</t>
  </si>
  <si>
    <t xml:space="preserve">Оптимист. TCV (×коэфф.), млн</t>
  </si>
  <si>
    <t xml:space="preserve">Санкц. стресс TCV (×коэфф.), млн</t>
  </si>
  <si>
    <t xml:space="preserve">--- NPV (Cash-in − Затраты) ---</t>
  </si>
  <si>
    <t xml:space="preserve">NPV (CI−Затр, r=8%), млрд</t>
  </si>
  <si>
    <t xml:space="preserve">NPV (CI−Затр, r=12%), млрд</t>
  </si>
  <si>
    <t xml:space="preserve">NPV (CI−Затр, r=15%), млрд</t>
  </si>
  <si>
    <t xml:space="preserve">NPV (CI−Затр, r=21%), млрд</t>
  </si>
  <si>
    <t xml:space="preserve">NPV (TCV−Затр, r=12%), млрд</t>
  </si>
  <si>
    <t xml:space="preserve">--- Net New TCV ---</t>
  </si>
  <si>
    <t xml:space="preserve">Baseline, млн</t>
  </si>
  <si>
    <t xml:space="preserve">Net New TCV, млн</t>
  </si>
  <si>
    <t xml:space="preserve">Мульт. Net New</t>
  </si>
  <si>
    <t xml:space="preserve">--- Кумулятивные метрики ---</t>
  </si>
  <si>
    <t xml:space="preserve">Кумул. ROI (TCV), %</t>
  </si>
  <si>
    <t xml:space="preserve">Кумул. Мультипликатор (TCV)</t>
  </si>
  <si>
    <t xml:space="preserve">Кумул. ROI (CI), %</t>
  </si>
  <si>
    <t xml:space="preserve">Кумул. Мультипликатор (CI)</t>
  </si>
  <si>
    <t xml:space="preserve">--- Справочно: с учётом налогов ООО (~252 млн) ---</t>
  </si>
  <si>
    <t xml:space="preserve">Затраты с налогами 10 лет, тыс.</t>
  </si>
  <si>
    <t xml:space="preserve">ROI (TCV, с налогами), %</t>
  </si>
  <si>
    <t xml:space="preserve">Мульт. (TCV, с налогами)</t>
  </si>
  <si>
    <t xml:space="preserve">NPV (CI, с налогами, r=12%), млрд</t>
  </si>
  <si>
    <t xml:space="preserve">SENSITIVITY: Cash-in ставки</t>
  </si>
  <si>
    <t xml:space="preserve">Метрика</t>
  </si>
  <si>
    <t xml:space="preserve">BASE (60/45/20)</t>
  </si>
  <si>
    <t xml:space="preserve">ALT (75/50/25)</t>
  </si>
  <si>
    <t xml:space="preserve">Δ</t>
  </si>
  <si>
    <t xml:space="preserve">Ставки А/Б/В</t>
  </si>
  <si>
    <t xml:space="preserve">60/45/20</t>
  </si>
  <si>
    <t xml:space="preserve">75/50/25</t>
  </si>
  <si>
    <t xml:space="preserve">—</t>
  </si>
  <si>
    <t xml:space="preserve">Cash-in 10 лет, млрд</t>
  </si>
  <si>
    <t xml:space="preserve">Cash-in Год 1, млн</t>
  </si>
  <si>
    <t xml:space="preserve">Ср.взв. ставка Г1</t>
  </si>
  <si>
    <t xml:space="preserve">ROI кумул. (CI), %</t>
  </si>
  <si>
    <t xml:space="preserve">Мульт. кумул. (CI)</t>
  </si>
  <si>
    <t xml:space="preserve">KPI</t>
  </si>
  <si>
    <t xml:space="preserve">Вес</t>
  </si>
  <si>
    <t xml:space="preserve">Total Inflows (TCV+CI)</t>
  </si>
  <si>
    <t xml:space="preserve">45%</t>
  </si>
  <si>
    <t xml:space="preserve">&gt;150 млн</t>
  </si>
  <si>
    <t xml:space="preserve">&gt;350 млн</t>
  </si>
  <si>
    <t xml:space="preserve">&gt;600 млн</t>
  </si>
  <si>
    <t xml:space="preserve">&gt;1 000 млн</t>
  </si>
  <si>
    <t xml:space="preserve">&gt;2 000 млн</t>
  </si>
  <si>
    <t xml:space="preserve">Кол-во закрытых сделок</t>
  </si>
  <si>
    <t xml:space="preserve">10%</t>
  </si>
  <si>
    <t xml:space="preserve">&gt;20</t>
  </si>
  <si>
    <t xml:space="preserve">&gt;45</t>
  </si>
  <si>
    <t xml:space="preserve">&gt;70</t>
  </si>
  <si>
    <t xml:space="preserve">&gt;100</t>
  </si>
  <si>
    <t xml:space="preserve">&gt;160</t>
  </si>
  <si>
    <t xml:space="preserve">Средний размер (TCV)</t>
  </si>
  <si>
    <t xml:space="preserve">&gt;5 млн</t>
  </si>
  <si>
    <t xml:space="preserve">&gt;7 млн</t>
  </si>
  <si>
    <t xml:space="preserve">&gt;8,5 млн</t>
  </si>
  <si>
    <t xml:space="preserve">&gt;10 млн</t>
  </si>
  <si>
    <t xml:space="preserve">&gt;12,5 млн</t>
  </si>
  <si>
    <t xml:space="preserve">Объём привл. инвестиций</t>
  </si>
  <si>
    <t xml:space="preserve">&gt;50 млн</t>
  </si>
  <si>
    <t xml:space="preserve">&gt;120 млн</t>
  </si>
  <si>
    <t xml:space="preserve">&gt;200 млн</t>
  </si>
  <si>
    <t xml:space="preserve">ROI (cash-in/затраты)</t>
  </si>
  <si>
    <t xml:space="preserve">5%</t>
  </si>
  <si>
    <t xml:space="preserve">&gt;100%</t>
  </si>
  <si>
    <t xml:space="preserve">&gt;200%</t>
  </si>
  <si>
    <t xml:space="preserve">&gt;300%</t>
  </si>
  <si>
    <t xml:space="preserve">&gt;450%</t>
  </si>
  <si>
    <t xml:space="preserve">&gt;600%</t>
  </si>
  <si>
    <t xml:space="preserve">Retention (S+A)</t>
  </si>
  <si>
    <t xml:space="preserve">8%</t>
  </si>
  <si>
    <t xml:space="preserve">&gt;80%</t>
  </si>
  <si>
    <t xml:space="preserve">&gt;85%</t>
  </si>
  <si>
    <t xml:space="preserve">&gt;90%</t>
  </si>
  <si>
    <t xml:space="preserve">&gt;92%</t>
  </si>
  <si>
    <t xml:space="preserve">NPS партнёров</t>
  </si>
  <si>
    <t xml:space="preserve">&gt;50</t>
  </si>
  <si>
    <t xml:space="preserve">&gt;60</t>
  </si>
  <si>
    <t xml:space="preserve">&gt;65</t>
  </si>
  <si>
    <t xml:space="preserve">&gt;75</t>
  </si>
  <si>
    <t xml:space="preserve">SLA (&lt;2 раб. дн.)</t>
  </si>
  <si>
    <t xml:space="preserve">&gt;95%</t>
  </si>
  <si>
    <t xml:space="preserve">&gt;97%</t>
  </si>
  <si>
    <t xml:space="preserve">Стратег. партнёры (S+A)</t>
  </si>
  <si>
    <t xml:space="preserve">2%</t>
  </si>
  <si>
    <t xml:space="preserve">&gt;5</t>
  </si>
  <si>
    <t xml:space="preserve">&gt;12</t>
  </si>
  <si>
    <t xml:space="preserve">&gt;35</t>
  </si>
  <si>
    <t xml:space="preserve">Должность</t>
  </si>
  <si>
    <t xml:space="preserve">Грейд</t>
  </si>
  <si>
    <t xml:space="preserve">Фикс./мес. Г.1</t>
  </si>
  <si>
    <t xml:space="preserve">Ключевой KPI (вес)</t>
  </si>
  <si>
    <t xml:space="preserve">Цель Г.1</t>
  </si>
  <si>
    <t xml:space="preserve">Цель Г.2</t>
  </si>
  <si>
    <t xml:space="preserve">Цель Г.3</t>
  </si>
  <si>
    <t xml:space="preserve">Цель Г.5</t>
  </si>
  <si>
    <t xml:space="preserve">Блок</t>
  </si>
  <si>
    <t xml:space="preserve">Директор ЦПИКП</t>
  </si>
  <si>
    <t xml:space="preserve">G1</t>
  </si>
  <si>
    <t xml:space="preserve">667</t>
  </si>
  <si>
    <t xml:space="preserve">Total Inflows (40%)</t>
  </si>
  <si>
    <t xml:space="preserve">Рук-во</t>
  </si>
  <si>
    <t xml:space="preserve">Первый зам.</t>
  </si>
  <si>
    <t xml:space="preserve">G2</t>
  </si>
  <si>
    <t xml:space="preserve">480</t>
  </si>
  <si>
    <t xml:space="preserve">Inflows контр. (30%)</t>
  </si>
  <si>
    <t xml:space="preserve">&gt;100 млн</t>
  </si>
  <si>
    <t xml:space="preserve">&gt;250 млн</t>
  </si>
  <si>
    <t xml:space="preserve">&gt;420 млн</t>
  </si>
  <si>
    <t xml:space="preserve">&gt;700 млн</t>
  </si>
  <si>
    <t xml:space="preserve">Зам. директора</t>
  </si>
  <si>
    <t xml:space="preserve">433</t>
  </si>
  <si>
    <t xml:space="preserve">Inflows контр. (25%)</t>
  </si>
  <si>
    <t xml:space="preserve">&gt;70 млн</t>
  </si>
  <si>
    <t xml:space="preserve">&gt;180 млн</t>
  </si>
  <si>
    <t xml:space="preserve">&gt;300 млн</t>
  </si>
  <si>
    <t xml:space="preserve">&gt;500 млн</t>
  </si>
  <si>
    <t xml:space="preserve">Рук. Блока 1 (Инвест.)</t>
  </si>
  <si>
    <t xml:space="preserve">G3</t>
  </si>
  <si>
    <t xml:space="preserve">320</t>
  </si>
  <si>
    <t xml:space="preserve">Объём инвест. (35%)</t>
  </si>
  <si>
    <t xml:space="preserve">Блок 1</t>
  </si>
  <si>
    <t xml:space="preserve">Инвест. менеджер ×2</t>
  </si>
  <si>
    <t xml:space="preserve">G4</t>
  </si>
  <si>
    <t xml:space="preserve">253</t>
  </si>
  <si>
    <t xml:space="preserve">Персон. объём (40%)</t>
  </si>
  <si>
    <t xml:space="preserve">&gt;15 млн</t>
  </si>
  <si>
    <t xml:space="preserve">&gt;40 млн</t>
  </si>
  <si>
    <t xml:space="preserve">Аналитик инвест. ×2</t>
  </si>
  <si>
    <t xml:space="preserve">G5</t>
  </si>
  <si>
    <t xml:space="preserve">187</t>
  </si>
  <si>
    <t xml:space="preserve">Паспорта (25%)</t>
  </si>
  <si>
    <t xml:space="preserve">&gt;8</t>
  </si>
  <si>
    <t xml:space="preserve">&gt;14</t>
  </si>
  <si>
    <t xml:space="preserve">&gt;18</t>
  </si>
  <si>
    <t xml:space="preserve">&gt;22</t>
  </si>
  <si>
    <t xml:space="preserve">Рук. Блока 2 (Фронт)</t>
  </si>
  <si>
    <t xml:space="preserve">Объём средств (25%)</t>
  </si>
  <si>
    <t xml:space="preserve">&gt;80 млн</t>
  </si>
  <si>
    <t xml:space="preserve">&gt;450 млн</t>
  </si>
  <si>
    <t xml:space="preserve">Блок 2</t>
  </si>
  <si>
    <t xml:space="preserve">Менеджер заказов ×2</t>
  </si>
  <si>
    <t xml:space="preserve">227</t>
  </si>
  <si>
    <t xml:space="preserve">Обращения (20%)</t>
  </si>
  <si>
    <t xml:space="preserve">&gt;80</t>
  </si>
  <si>
    <t xml:space="preserve">&gt;240</t>
  </si>
  <si>
    <t xml:space="preserve">&gt;360</t>
  </si>
  <si>
    <t xml:space="preserve">Специалист ×2</t>
  </si>
  <si>
    <t xml:space="preserve">167</t>
  </si>
  <si>
    <t xml:space="preserve">Конверсия (20%)</t>
  </si>
  <si>
    <t xml:space="preserve">&gt;12%</t>
  </si>
  <si>
    <t xml:space="preserve">&gt;15%</t>
  </si>
  <si>
    <t xml:space="preserve">&gt;18%</t>
  </si>
  <si>
    <t xml:space="preserve">&gt;20%</t>
  </si>
  <si>
    <t xml:space="preserve">Рук. Блока 3 (KAM)</t>
  </si>
  <si>
    <t xml:space="preserve">Объём KAM (35%)</t>
  </si>
  <si>
    <t xml:space="preserve">&gt;400 млн</t>
  </si>
  <si>
    <t xml:space="preserve">&gt;650 млн</t>
  </si>
  <si>
    <t xml:space="preserve">Блок 3</t>
  </si>
  <si>
    <t xml:space="preserve">Ст. KAM-менеджер ×3</t>
  </si>
  <si>
    <t xml:space="preserve">280</t>
  </si>
  <si>
    <t xml:space="preserve">Объём портфеля (40%)</t>
  </si>
  <si>
    <t xml:space="preserve">&gt;25 млн</t>
  </si>
  <si>
    <t xml:space="preserve">&gt;60 млн</t>
  </si>
  <si>
    <t xml:space="preserve">&gt;170 млн</t>
  </si>
  <si>
    <t xml:space="preserve">KAM-менеджер ×2</t>
  </si>
  <si>
    <t xml:space="preserve">Рук. Блока 4 (Аналит.)</t>
  </si>
  <si>
    <t xml:space="preserve">307</t>
  </si>
  <si>
    <t xml:space="preserve">Полнота CRM (15%)</t>
  </si>
  <si>
    <t xml:space="preserve">&gt;88%</t>
  </si>
  <si>
    <t xml:space="preserve">Блок 4</t>
  </si>
  <si>
    <t xml:space="preserve">CRM-специалист ×2</t>
  </si>
  <si>
    <t xml:space="preserve">213</t>
  </si>
  <si>
    <t xml:space="preserve">Uptime CRM (20%)</t>
  </si>
  <si>
    <t xml:space="preserve">&gt;99%</t>
  </si>
  <si>
    <t xml:space="preserve">&gt;99,5%</t>
  </si>
  <si>
    <t xml:space="preserve">Веб-разработчик</t>
  </si>
  <si>
    <t xml:space="preserve">240</t>
  </si>
  <si>
    <t xml:space="preserve">Портал KPI (25%)</t>
  </si>
  <si>
    <t xml:space="preserve">MVP</t>
  </si>
  <si>
    <t xml:space="preserve">v2.0</t>
  </si>
  <si>
    <t xml:space="preserve">Ст. корп. юрист</t>
  </si>
  <si>
    <t xml:space="preserve">387</t>
  </si>
  <si>
    <t xml:space="preserve">SLA сопров. (20%)</t>
  </si>
  <si>
    <t xml:space="preserve">&lt;5 дн.</t>
  </si>
  <si>
    <t xml:space="preserve">&lt;4 дн.</t>
  </si>
  <si>
    <t xml:space="preserve">&lt;3 дн.</t>
  </si>
  <si>
    <t xml:space="preserve">&lt;2 дн.</t>
  </si>
  <si>
    <t xml:space="preserve">Блок 5</t>
  </si>
  <si>
    <t xml:space="preserve">Юрист по сделкам/IP</t>
  </si>
  <si>
    <t xml:space="preserve">Контракты (15%)</t>
  </si>
  <si>
    <t xml:space="preserve">&gt;30</t>
  </si>
  <si>
    <t xml:space="preserve">&gt;90</t>
  </si>
  <si>
    <t xml:space="preserve">&gt;130</t>
  </si>
  <si>
    <t xml:space="preserve">Период</t>
  </si>
  <si>
    <t xml:space="preserve">Действие</t>
  </si>
  <si>
    <t xml:space="preserve">KPI / результат</t>
  </si>
  <si>
    <t xml:space="preserve">Ответственный</t>
  </si>
  <si>
    <t xml:space="preserve">Мес. 1</t>
  </si>
  <si>
    <t xml:space="preserve">Решение ректора. Рег. ООО. Назначение директора.</t>
  </si>
  <si>
    <t xml:space="preserve">ООО зарегистрировано</t>
  </si>
  <si>
    <t xml:space="preserve">Ректор</t>
  </si>
  <si>
    <t xml:space="preserve">Мес. 1-3</t>
  </si>
  <si>
    <t xml:space="preserve">Волна 1: 6 чел. (директор, 1й зам, 4 рук. блоков)</t>
  </si>
  <si>
    <t xml:space="preserve">Укомплект. 24%</t>
  </si>
  <si>
    <t xml:space="preserve">Директор</t>
  </si>
  <si>
    <t xml:space="preserve">Мес. 3-6</t>
  </si>
  <si>
    <t xml:space="preserve">Волна 2: +8 → 14 чел. (зам, KAM, инвест. менедж.)</t>
  </si>
  <si>
    <t xml:space="preserve">TCV &gt;200 млн</t>
  </si>
  <si>
    <t xml:space="preserve">Мес. 6-9</t>
  </si>
  <si>
    <t xml:space="preserve">Волна 3: +11 → 25 чел. (полный штат Ф1)</t>
  </si>
  <si>
    <t xml:space="preserve">Pipeline &gt;500 млн</t>
  </si>
  <si>
    <t xml:space="preserve">Мес. 10-12</t>
  </si>
  <si>
    <t xml:space="preserve">МИФИ Innovation Day. Первый целевой капитал.</t>
  </si>
  <si>
    <t xml:space="preserve">Cash-in &gt;598 млн</t>
  </si>
  <si>
    <t xml:space="preserve">Мес. 12</t>
  </si>
  <si>
    <t xml:space="preserve">T1: Годовой отчёт ректору</t>
  </si>
  <si>
    <t xml:space="preserve">ROI оценка</t>
  </si>
  <si>
    <t xml:space="preserve">Мес. 13-18</t>
  </si>
  <si>
    <t xml:space="preserve">Proof of Concept. Интеграция CRM+Эндаумент</t>
  </si>
  <si>
    <t xml:space="preserve">ROI(CI) &gt;150%</t>
  </si>
  <si>
    <t xml:space="preserve">Мес. 18</t>
  </si>
  <si>
    <t xml:space="preserve">T2: Решение об интеграции</t>
  </si>
  <si>
    <t xml:space="preserve">T2 пройдена</t>
  </si>
  <si>
    <t xml:space="preserve">Набл. совет</t>
  </si>
  <si>
    <t xml:space="preserve">Мес. 19-24</t>
  </si>
  <si>
    <t xml:space="preserve">Масштабирование pipeline. &gt;100 партнёров</t>
  </si>
  <si>
    <t xml:space="preserve">Cash-in &gt;1 108 млн</t>
  </si>
  <si>
    <t xml:space="preserve">Мес. 24</t>
  </si>
  <si>
    <t xml:space="preserve">T3: Решение ООО→Департамент</t>
  </si>
  <si>
    <t xml:space="preserve">T3 пройдена</t>
  </si>
  <si>
    <t xml:space="preserve">Учёный совет</t>
  </si>
  <si>
    <t xml:space="preserve">Год 3 Q1-Q2</t>
  </si>
  <si>
    <t xml:space="preserve">Волна 4: +7 → 32 чел. KAM Росатом выделенный</t>
  </si>
  <si>
    <t xml:space="preserve">32 чел. (100% Ф2)</t>
  </si>
  <si>
    <t xml:space="preserve">Год 3 Q3-Q4</t>
  </si>
  <si>
    <t xml:space="preserve">ДПО программы. Модель 40/60.</t>
  </si>
  <si>
    <t xml:space="preserve">CI &gt;1 740 млн</t>
  </si>
  <si>
    <t xml:space="preserve">Инвестиционный фонд: структурирование LP/GP</t>
  </si>
  <si>
    <t xml:space="preserve">Фонд &gt;300 млн</t>
  </si>
  <si>
    <t xml:space="preserve">Рук. Блока 1</t>
  </si>
  <si>
    <t xml:space="preserve">Масштабирование портфеля. &gt;100 партнёров</t>
  </si>
  <si>
    <t xml:space="preserve">CI &gt;2 340 млн</t>
  </si>
  <si>
    <t xml:space="preserve">T4: Оценка полной модели</t>
  </si>
  <si>
    <t xml:space="preserve">ROI &gt;300%</t>
  </si>
  <si>
    <t xml:space="preserve">Волна 5: +3 → 35 чел. Первые выходы спин-оффов</t>
  </si>
  <si>
    <t xml:space="preserve">CI &gt;2 580 млн</t>
  </si>
  <si>
    <t xml:space="preserve">Год 7-8</t>
  </si>
  <si>
    <t xml:space="preserve">Фонд 2й closing. Межд. партнёрства.</t>
  </si>
  <si>
    <t xml:space="preserve">Фонд &gt;500 млн</t>
  </si>
  <si>
    <t xml:space="preserve">GP (ЦПИКП)</t>
  </si>
  <si>
    <t xml:space="preserve">Год 9-10</t>
  </si>
  <si>
    <t xml:space="preserve">Зрелая модель. &gt;150 партнёров. &gt;5 млрд TCV/год</t>
  </si>
  <si>
    <t xml:space="preserve">CI &gt;3 360 млн</t>
  </si>
  <si>
    <t xml:space="preserve">CHANGELOG: CPIKP_Calculations</t>
  </si>
  <si>
    <t xml:space="preserve">История изменений финансовой модели ЦПИКП</t>
  </si>
  <si>
    <t xml:space="preserve">Версия</t>
  </si>
  <si>
    <t xml:space="preserve">Дата</t>
  </si>
  <si>
    <t xml:space="preserve">Описание</t>
  </si>
  <si>
    <t xml:space="preserve">Ключевые изменения</t>
  </si>
  <si>
    <t xml:space="preserve">v1.0</t>
  </si>
  <si>
    <t xml:space="preserve">Февр. 2026</t>
  </si>
  <si>
    <t xml:space="preserve">Первоначальная модель</t>
  </si>
  <si>
    <t xml:space="preserve">Set 0: cash-in 60% flat. 5 листов, ~200 формул.</t>
  </si>
  <si>
    <t xml:space="preserve">Калибровка cash-in</t>
  </si>
  <si>
    <t xml:space="preserve">Set A: 75/50/25 по группам. Добавлены Sensitivity, KPI, Дор. карта.</t>
  </si>
  <si>
    <t xml:space="preserve">v3.0</t>
  </si>
  <si>
    <t xml:space="preserve">Март 2026</t>
  </si>
  <si>
    <t xml:space="preserve">Финальная калибровка</t>
  </si>
  <si>
    <t xml:space="preserve">Set B: 60/45/20 (базовые ставки). OPEX: 22 500 → 28 200.</t>
  </si>
  <si>
    <t xml:space="preserve">v3.2</t>
  </si>
  <si>
    <t xml:space="preserve">Формулы + Parameters</t>
  </si>
  <si>
    <t xml:space="preserve">Parameters sheet как single source of truth. 378 формул. Net New TCV.</t>
  </si>
  <si>
    <t xml:space="preserve">v3.3</t>
  </si>
  <si>
    <t xml:space="preserve">Налоги ООО</t>
  </si>
  <si>
    <t xml:space="preserve">Добавлены строки налогов (~252 млн/10 лет). Справочные ROI/NPV с налогами.</t>
  </si>
  <si>
    <t xml:space="preserve">v3.4</t>
  </si>
  <si>
    <t xml:space="preserve">Changelog + финализация</t>
  </si>
  <si>
    <t xml:space="preserve">Добавлен лист Changelog. Все правки аудита (48 замечаний) учтены.</t>
  </si>
  <si>
    <t xml:space="preserve">Детализация изменений v3.2 → v3.4</t>
  </si>
  <si>
    <t xml:space="preserve">Стадия</t>
  </si>
  <si>
    <t xml:space="preserve">ID замечания</t>
  </si>
  <si>
    <t xml:space="preserve">Лист</t>
  </si>
  <si>
    <t xml:space="preserve">Изменение</t>
  </si>
  <si>
    <t xml:space="preserve">БЫЛО</t>
  </si>
  <si>
    <t xml:space="preserve">СТАЛО</t>
  </si>
  <si>
    <t xml:space="preserve">Ст. 7</t>
  </si>
  <si>
    <t xml:space="preserve">5-ВЫС-8</t>
  </si>
  <si>
    <t xml:space="preserve">ФОТ_B_v6</t>
  </si>
  <si>
    <t xml:space="preserve">Добавлена строка «Налоги ООО (оценка)»</t>
  </si>
  <si>
    <t xml:space="preserve">8 000 → 39 000 тыс./год</t>
  </si>
  <si>
    <t xml:space="preserve">Добавлена строка «Затраты с налогами» (формулы)</t>
  </si>
  <si>
    <t xml:space="preserve">Формула: Затраты + Налоги</t>
  </si>
  <si>
    <t xml:space="preserve">TCV_Сценарии</t>
  </si>
  <si>
    <t xml:space="preserve">Справочно: ROI TCV с налогами</t>
  </si>
  <si>
    <t xml:space="preserve">593%</t>
  </si>
  <si>
    <t xml:space="preserve">Справочно: Мульт. TCV с налогами</t>
  </si>
  <si>
    <t xml:space="preserve">6,9x</t>
  </si>
  <si>
    <t xml:space="preserve">Справочно: NPV CI с налогами (r=12%)</t>
  </si>
  <si>
    <t xml:space="preserve">7,3 млрд</t>
  </si>
  <si>
    <t xml:space="preserve">Параметры</t>
  </si>
  <si>
    <t xml:space="preserve">OPEX Г1 = 28 200 (детализация)</t>
  </si>
  <si>
    <t xml:space="preserve">22 500</t>
  </si>
  <si>
    <t xml:space="preserve">28 200</t>
  </si>
  <si>
    <t xml:space="preserve">Cash-in ставки BASE</t>
  </si>
  <si>
    <t xml:space="preserve">60% flat</t>
  </si>
  <si>
    <t xml:space="preserve">А=60%, Б=45%, В=20%</t>
  </si>
  <si>
    <t xml:space="preserve">Net New TCV (строки 21–24)</t>
  </si>
  <si>
    <t xml:space="preserve">Baseline 500 + Net New</t>
  </si>
  <si>
    <t xml:space="preserve">Кумулятивные метрики (строки 26–30)</t>
  </si>
  <si>
    <t xml:space="preserve">ROI 626%, Мульт. 7,3x / 3,9x</t>
  </si>
  <si>
    <t xml:space="preserve">Sensitivity</t>
  </si>
  <si>
    <t xml:space="preserve">Сравнение BASE vs ALT ставок</t>
  </si>
  <si>
    <t xml:space="preserve">BASE 60/45/20 vs ALT 75/50/25</t>
  </si>
  <si>
    <t xml:space="preserve">Changelog</t>
  </si>
  <si>
    <t xml:space="preserve">Добавлен лист Changelog</t>
  </si>
  <si>
    <t xml:space="preserve">Настоящий лист</t>
  </si>
  <si>
    <t xml:space="preserve">Эталонные метрики (источник истины)</t>
  </si>
  <si>
    <t xml:space="preserve">Значение</t>
  </si>
  <si>
    <t xml:space="preserve">Лист / ячейка</t>
  </si>
  <si>
    <t xml:space="preserve">TCV 10 лет (базовый)</t>
  </si>
  <si>
    <t xml:space="preserve">38 350 млн (~38,4 млрд)</t>
  </si>
  <si>
    <t xml:space="preserve">TCV_Сценарии!L2</t>
  </si>
  <si>
    <t xml:space="preserve">Cash-in 10 лет (BASE)</t>
  </si>
  <si>
    <t xml:space="preserve">20 555 млн (~20,6 млрд)</t>
  </si>
  <si>
    <t xml:space="preserve">TCV_Сценарии!L3</t>
  </si>
  <si>
    <t xml:space="preserve">Совокупные затраты 10 лет</t>
  </si>
  <si>
    <t xml:space="preserve">5 280 916 тыс. (~5,28 млрд)</t>
  </si>
  <si>
    <t xml:space="preserve">ФОТ_B_v6!L8 / TCV_Сценарии!L4</t>
  </si>
  <si>
    <t xml:space="preserve">Налоги ООО 10 лет</t>
  </si>
  <si>
    <t xml:space="preserve">~252 000 тыс.</t>
  </si>
  <si>
    <t xml:space="preserve">ФОТ_B_v6!L11</t>
  </si>
  <si>
    <t xml:space="preserve">Затраты с налогами</t>
  </si>
  <si>
    <t xml:space="preserve">~5 533 000 тыс.</t>
  </si>
  <si>
    <t xml:space="preserve">ФОТ_B_v6!L12</t>
  </si>
  <si>
    <t xml:space="preserve">NPV (CI−Затр, r=12%)</t>
  </si>
  <si>
    <t xml:space="preserve">7,65–7,66 млрд</t>
  </si>
  <si>
    <t xml:space="preserve">TCV_Сценарии!B16</t>
  </si>
  <si>
    <t xml:space="preserve">NPV (TCV−Затр, r=12%)</t>
  </si>
  <si>
    <t xml:space="preserve">16,52 млрд</t>
  </si>
  <si>
    <t xml:space="preserve">TCV_Сценарии!B19</t>
  </si>
  <si>
    <t xml:space="preserve">ROI кумул. (TCV)</t>
  </si>
  <si>
    <t xml:space="preserve">626%</t>
  </si>
  <si>
    <t xml:space="preserve">TCV_Сценарии!B27</t>
  </si>
  <si>
    <t xml:space="preserve">ROI кумул. (CI)</t>
  </si>
  <si>
    <t xml:space="preserve">289%</t>
  </si>
  <si>
    <t xml:space="preserve">TCV_Сценарии!B29</t>
  </si>
  <si>
    <t xml:space="preserve">Мульт. кумул. (TCV)</t>
  </si>
  <si>
    <t xml:space="preserve">7,3x</t>
  </si>
  <si>
    <t xml:space="preserve">TCV_Сценарии!B28</t>
  </si>
  <si>
    <t xml:space="preserve">3,9x</t>
  </si>
  <si>
    <t xml:space="preserve">TCV_Сценарии!B30</t>
  </si>
  <si>
    <t xml:space="preserve">OPEX Г1</t>
  </si>
  <si>
    <t xml:space="preserve">28 200 тыс.</t>
  </si>
  <si>
    <t xml:space="preserve">Параметры!B27 / ФОТ_B_v6!B7</t>
  </si>
  <si>
    <t xml:space="preserve">ФОТ итог. Г1 (100% KPI)</t>
  </si>
  <si>
    <t xml:space="preserve">139 444 тыс.</t>
  </si>
  <si>
    <t xml:space="preserve">ФОТ_B_v6!B6</t>
  </si>
  <si>
    <t xml:space="preserve">Хедж Г1 (0% KPI + OPEX)</t>
  </si>
  <si>
    <t xml:space="preserve">~140 000 тыс.</t>
  </si>
  <si>
    <t xml:space="preserve">ФОТ_B_v6!B9 + B7</t>
  </si>
  <si>
    <t xml:space="preserve">Параметры!B33–B35</t>
  </si>
  <si>
    <t xml:space="preserve">Break-even</t>
  </si>
  <si>
    <t xml:space="preserve">15–20 мес.</t>
  </si>
  <si>
    <t xml:space="preserve">Расчётный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</si>
</sst>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"/>
    <numFmt numFmtId="168" formatCode="#,##0.00"/>
    <numFmt numFmtId="169" formatCode="0.0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03DA5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003DA5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3DA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3DA5"/>
        <bgColor rgb="FF333399"/>
      </patternFill>
    </fill>
    <fill>
      <patternFill patternType="solid">
        <fgColor rgb="FFFFF8E1"/>
        <bgColor rgb="FFFFFFFF"/>
      </patternFill>
    </fill>
    <fill>
      <patternFill patternType="solid">
        <fgColor rgb="FFE8F0FE"/>
        <bgColor rgb="FFE8F5E9"/>
      </patternFill>
    </fill>
    <fill>
      <patternFill patternType="solid">
        <fgColor rgb="FFE8F5E9"/>
        <bgColor rgb="FFE8F0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DA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2" t="s">
        <v>1</v>
      </c>
    </row>
    <row r="4" customFormat="false" ht="15" hidden="false" customHeight="true" outlineLevel="0" collapsed="false">
      <c r="A4" s="1" t="s">
        <v>2</v>
      </c>
      <c r="B4" s="3" t="n">
        <v>10</v>
      </c>
    </row>
    <row r="5" customFormat="false" ht="15" hidden="false" customHeight="true" outlineLevel="0" collapsed="false">
      <c r="A5" s="1" t="s">
        <v>3</v>
      </c>
      <c r="B5" s="4" t="n">
        <v>0.12</v>
      </c>
      <c r="C5" s="5" t="s">
        <v>4</v>
      </c>
    </row>
    <row r="6" customFormat="false" ht="15" hidden="false" customHeight="true" outlineLevel="0" collapsed="false">
      <c r="A6" s="1" t="s">
        <v>5</v>
      </c>
      <c r="B6" s="4" t="n">
        <v>0.302</v>
      </c>
      <c r="C6" s="5" t="s">
        <v>6</v>
      </c>
    </row>
    <row r="7" customFormat="false" ht="15" hidden="false" customHeight="true" outlineLevel="0" collapsed="false">
      <c r="A7" s="1" t="s">
        <v>7</v>
      </c>
      <c r="B7" s="4" t="n">
        <v>0.05</v>
      </c>
      <c r="C7" s="5" t="s">
        <v>8</v>
      </c>
    </row>
    <row r="8" customFormat="false" ht="15" hidden="false" customHeight="true" outlineLevel="0" collapsed="false">
      <c r="A8" s="1" t="s">
        <v>9</v>
      </c>
      <c r="B8" s="3" t="n">
        <v>28200</v>
      </c>
      <c r="C8" s="5" t="s">
        <v>10</v>
      </c>
    </row>
    <row r="10" customFormat="false" ht="15" hidden="false" customHeight="true" outlineLevel="0" collapsed="false">
      <c r="A10" s="2" t="s">
        <v>11</v>
      </c>
    </row>
    <row r="11" customFormat="false" ht="15" hidden="false" customHeight="true" outlineLevel="0" collapsed="false">
      <c r="A11" s="1" t="s">
        <v>12</v>
      </c>
      <c r="B11" s="3" t="n">
        <v>25</v>
      </c>
    </row>
    <row r="12" customFormat="false" ht="15" hidden="false" customHeight="true" outlineLevel="0" collapsed="false">
      <c r="A12" s="1" t="s">
        <v>13</v>
      </c>
      <c r="B12" s="3" t="n">
        <v>32</v>
      </c>
      <c r="C12" s="5" t="s">
        <v>14</v>
      </c>
    </row>
    <row r="13" customFormat="false" ht="15" hidden="false" customHeight="true" outlineLevel="0" collapsed="false">
      <c r="A13" s="1" t="s">
        <v>15</v>
      </c>
      <c r="B13" s="3" t="n">
        <v>35</v>
      </c>
      <c r="C13" s="5" t="s">
        <v>16</v>
      </c>
    </row>
    <row r="15" customFormat="false" ht="15" hidden="false" customHeight="true" outlineLevel="0" collapsed="false">
      <c r="A15" s="2" t="s">
        <v>17</v>
      </c>
    </row>
    <row r="16" customFormat="false" ht="15" hidden="false" customHeight="true" outlineLevel="0" collapsed="false">
      <c r="A16" s="1" t="s">
        <v>18</v>
      </c>
      <c r="B16" s="4" t="n">
        <v>0.25</v>
      </c>
      <c r="C16" s="5" t="s">
        <v>19</v>
      </c>
    </row>
    <row r="17" customFormat="false" ht="15" hidden="false" customHeight="true" outlineLevel="0" collapsed="false">
      <c r="A17" s="1" t="s">
        <v>20</v>
      </c>
      <c r="B17" s="4" t="n">
        <v>0.67</v>
      </c>
      <c r="C17" s="5" t="s">
        <v>21</v>
      </c>
    </row>
    <row r="18" customFormat="false" ht="15" hidden="false" customHeight="true" outlineLevel="0" collapsed="false">
      <c r="A18" s="1" t="s">
        <v>22</v>
      </c>
      <c r="B18" s="3" t="n">
        <v>1.5</v>
      </c>
      <c r="C18" s="5" t="s">
        <v>23</v>
      </c>
    </row>
    <row r="20" customFormat="false" ht="15" hidden="false" customHeight="true" outlineLevel="0" collapsed="false">
      <c r="A20" s="2" t="s">
        <v>24</v>
      </c>
    </row>
    <row r="21" customFormat="false" ht="15" hidden="false" customHeight="true" outlineLevel="0" collapsed="false">
      <c r="A21" s="1" t="s">
        <v>25</v>
      </c>
      <c r="B21" s="4" t="n">
        <v>0.6</v>
      </c>
      <c r="C21" s="5" t="s">
        <v>26</v>
      </c>
    </row>
    <row r="22" customFormat="false" ht="15" hidden="false" customHeight="true" outlineLevel="0" collapsed="false">
      <c r="A22" s="1" t="s">
        <v>27</v>
      </c>
      <c r="B22" s="4" t="n">
        <v>0.45</v>
      </c>
    </row>
    <row r="23" customFormat="false" ht="15" hidden="false" customHeight="true" outlineLevel="0" collapsed="false">
      <c r="A23" s="1" t="s">
        <v>28</v>
      </c>
      <c r="B23" s="4" t="n">
        <v>0.2</v>
      </c>
    </row>
    <row r="25" customFormat="false" ht="15" hidden="false" customHeight="true" outlineLevel="0" collapsed="false">
      <c r="A25" s="2" t="s">
        <v>29</v>
      </c>
    </row>
    <row r="26" customFormat="false" ht="15" hidden="false" customHeight="true" outlineLevel="0" collapsed="false">
      <c r="A26" s="1" t="s">
        <v>30</v>
      </c>
      <c r="B26" s="4" t="n">
        <v>0.75</v>
      </c>
      <c r="C26" s="5" t="s">
        <v>31</v>
      </c>
    </row>
    <row r="27" customFormat="false" ht="15" hidden="false" customHeight="true" outlineLevel="0" collapsed="false">
      <c r="A27" s="1" t="s">
        <v>32</v>
      </c>
      <c r="B27" s="4" t="n">
        <v>0.5</v>
      </c>
    </row>
    <row r="28" customFormat="false" ht="15" hidden="false" customHeight="true" outlineLevel="0" collapsed="false">
      <c r="A28" s="1" t="s">
        <v>33</v>
      </c>
      <c r="B28" s="4" t="n">
        <v>0.25</v>
      </c>
    </row>
    <row r="30" customFormat="false" ht="15" hidden="false" customHeight="true" outlineLevel="0" collapsed="false">
      <c r="A30" s="2" t="s">
        <v>34</v>
      </c>
    </row>
    <row r="31" customFormat="false" ht="15" hidden="false" customHeight="true" outlineLevel="0" collapsed="false">
      <c r="A31" s="1" t="s">
        <v>35</v>
      </c>
      <c r="B31" s="4" t="n">
        <v>0.7</v>
      </c>
    </row>
    <row r="32" customFormat="false" ht="15" hidden="false" customHeight="true" outlineLevel="0" collapsed="false">
      <c r="A32" s="1" t="s">
        <v>36</v>
      </c>
      <c r="B32" s="3" t="n">
        <v>1.37</v>
      </c>
    </row>
    <row r="33" customFormat="false" ht="15" hidden="false" customHeight="true" outlineLevel="0" collapsed="false">
      <c r="A33" s="1" t="s">
        <v>37</v>
      </c>
      <c r="B33" s="4" t="n">
        <v>0.85</v>
      </c>
    </row>
    <row r="35" customFormat="false" ht="15" hidden="false" customHeight="true" outlineLevel="0" collapsed="false">
      <c r="A35" s="2" t="s">
        <v>38</v>
      </c>
    </row>
    <row r="36" customFormat="false" ht="15" hidden="false" customHeight="true" outlineLevel="0" collapsed="false">
      <c r="A36" s="1" t="s">
        <v>39</v>
      </c>
      <c r="B36" s="3" t="n">
        <v>500</v>
      </c>
      <c r="C36" s="5" t="s">
        <v>40</v>
      </c>
    </row>
    <row r="38" customFormat="false" ht="15" hidden="false" customHeight="true" outlineLevel="0" collapsed="false">
      <c r="A38" s="2" t="s">
        <v>41</v>
      </c>
    </row>
    <row r="39" customFormat="false" ht="15" hidden="false" customHeight="true" outlineLevel="0" collapsed="false">
      <c r="A39" s="1" t="s">
        <v>42</v>
      </c>
      <c r="B39" s="4" t="n">
        <v>0.08</v>
      </c>
    </row>
    <row r="40" customFormat="false" ht="15" hidden="false" customHeight="true" outlineLevel="0" collapsed="false">
      <c r="A40" s="1" t="s">
        <v>43</v>
      </c>
      <c r="B40" s="4" t="n">
        <v>0.12</v>
      </c>
      <c r="C40" s="5" t="s">
        <v>44</v>
      </c>
    </row>
    <row r="41" customFormat="false" ht="15" hidden="false" customHeight="true" outlineLevel="0" collapsed="false">
      <c r="A41" s="1" t="s">
        <v>45</v>
      </c>
      <c r="B41" s="4" t="n">
        <v>0.15</v>
      </c>
    </row>
    <row r="42" customFormat="false" ht="15" hidden="false" customHeight="true" outlineLevel="0" collapsed="false">
      <c r="A42" s="1" t="s">
        <v>46</v>
      </c>
      <c r="B42" s="4" t="n">
        <v>0.21</v>
      </c>
      <c r="C42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2" min="2" style="1" width="15"/>
  </cols>
  <sheetData>
    <row r="1" customFormat="false" ht="15" hidden="false" customHeight="true" outlineLevel="0" collapsed="false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</row>
    <row r="2" customFormat="false" ht="15" hidden="false" customHeight="true" outlineLevel="0" collapsed="false">
      <c r="A2" s="7" t="s">
        <v>60</v>
      </c>
      <c r="B2" s="8" t="n">
        <v>25</v>
      </c>
      <c r="C2" s="8" t="n">
        <v>25</v>
      </c>
      <c r="D2" s="8" t="n">
        <v>32</v>
      </c>
      <c r="E2" s="8" t="n">
        <v>32</v>
      </c>
      <c r="F2" s="8" t="n">
        <v>32</v>
      </c>
      <c r="G2" s="8" t="n">
        <v>35</v>
      </c>
      <c r="H2" s="8" t="n">
        <v>35</v>
      </c>
      <c r="I2" s="8" t="n">
        <v>35</v>
      </c>
      <c r="J2" s="8" t="n">
        <v>35</v>
      </c>
      <c r="K2" s="8" t="n">
        <v>35</v>
      </c>
      <c r="L2" s="9"/>
    </row>
    <row r="3" customFormat="false" ht="15" hidden="false" customHeight="true" outlineLevel="0" collapsed="false">
      <c r="A3" s="7" t="s">
        <v>61</v>
      </c>
      <c r="B3" s="9" t="s">
        <v>62</v>
      </c>
      <c r="C3" s="9" t="s">
        <v>63</v>
      </c>
      <c r="D3" s="9" t="s">
        <v>64</v>
      </c>
      <c r="E3" s="9" t="s">
        <v>64</v>
      </c>
      <c r="F3" s="9" t="s">
        <v>64</v>
      </c>
      <c r="G3" s="9" t="s">
        <v>64</v>
      </c>
      <c r="H3" s="9" t="s">
        <v>64</v>
      </c>
      <c r="I3" s="9" t="s">
        <v>64</v>
      </c>
      <c r="J3" s="9" t="s">
        <v>64</v>
      </c>
      <c r="K3" s="9" t="s">
        <v>64</v>
      </c>
      <c r="L3" s="9"/>
    </row>
    <row r="4" customFormat="false" ht="15" hidden="false" customHeight="true" outlineLevel="0" collapsed="false">
      <c r="A4" s="7" t="s">
        <v>65</v>
      </c>
      <c r="B4" s="9" t="s">
        <v>66</v>
      </c>
      <c r="C4" s="9" t="s">
        <v>67</v>
      </c>
      <c r="D4" s="9" t="s">
        <v>68</v>
      </c>
      <c r="E4" s="9" t="s">
        <v>68</v>
      </c>
      <c r="F4" s="9" t="s">
        <v>68</v>
      </c>
      <c r="G4" s="9" t="s">
        <v>68</v>
      </c>
      <c r="H4" s="9" t="s">
        <v>68</v>
      </c>
      <c r="I4" s="9" t="s">
        <v>68</v>
      </c>
      <c r="J4" s="9" t="s">
        <v>68</v>
      </c>
      <c r="K4" s="9" t="s">
        <v>68</v>
      </c>
      <c r="L4" s="9"/>
    </row>
    <row r="5" customFormat="false" ht="15" hidden="false" customHeight="true" outlineLevel="0" collapsed="false">
      <c r="A5" s="7" t="s">
        <v>69</v>
      </c>
      <c r="B5" s="10" t="n">
        <v>107100</v>
      </c>
      <c r="C5" s="10" t="n">
        <v>155737</v>
      </c>
      <c r="D5" s="10" t="n">
        <v>302446</v>
      </c>
      <c r="E5" s="10" t="n">
        <v>329446</v>
      </c>
      <c r="F5" s="10" t="n">
        <v>358862</v>
      </c>
      <c r="G5" s="10" t="n">
        <v>423247</v>
      </c>
      <c r="H5" s="10" t="n">
        <v>461049</v>
      </c>
      <c r="I5" s="10" t="n">
        <v>502260</v>
      </c>
      <c r="J5" s="10" t="n">
        <v>547192</v>
      </c>
      <c r="K5" s="10" t="n">
        <v>596231</v>
      </c>
      <c r="L5" s="11" t="n">
        <f aca="false">SUM(B5:K5)</f>
        <v>3783570</v>
      </c>
    </row>
    <row r="6" customFormat="false" ht="15" hidden="false" customHeight="true" outlineLevel="0" collapsed="false">
      <c r="A6" s="12" t="s">
        <v>70</v>
      </c>
      <c r="B6" s="13" t="n">
        <f aca="false">ROUND(B5*(1+Параметры!$B$6),0)</f>
        <v>139444</v>
      </c>
      <c r="C6" s="13" t="n">
        <f aca="false">ROUND(C5*(1+Параметры!$B$6),0)</f>
        <v>202770</v>
      </c>
      <c r="D6" s="13" t="n">
        <f aca="false">ROUND(D5*(1+Параметры!$B$6),0)</f>
        <v>393785</v>
      </c>
      <c r="E6" s="13" t="n">
        <f aca="false">ROUND(E5*(1+Параметры!$B$6),0)</f>
        <v>428939</v>
      </c>
      <c r="F6" s="13" t="n">
        <f aca="false">ROUND(F5*(1+Параметры!$B$6),0)</f>
        <v>467238</v>
      </c>
      <c r="G6" s="13" t="n">
        <f aca="false">ROUND(G5*(1+Параметры!$B$6),0)</f>
        <v>551068</v>
      </c>
      <c r="H6" s="13" t="n">
        <f aca="false">ROUND(H5*(1+Параметры!$B$6),0)</f>
        <v>600286</v>
      </c>
      <c r="I6" s="13" t="n">
        <f aca="false">ROUND(I5*(1+Параметры!$B$6),0)</f>
        <v>653943</v>
      </c>
      <c r="J6" s="13" t="n">
        <f aca="false">ROUND(J5*(1+Параметры!$B$6),0)</f>
        <v>712444</v>
      </c>
      <c r="K6" s="13" t="n">
        <f aca="false">ROUND(K5*(1+Параметры!$B$6),0)</f>
        <v>776293</v>
      </c>
      <c r="L6" s="11" t="n">
        <f aca="false">SUM(B6:K6)</f>
        <v>4926210</v>
      </c>
    </row>
    <row r="7" customFormat="false" ht="15" hidden="false" customHeight="true" outlineLevel="0" collapsed="false">
      <c r="A7" s="7" t="s">
        <v>71</v>
      </c>
      <c r="B7" s="14" t="n">
        <f aca="false">Параметры!$B$8</f>
        <v>28200</v>
      </c>
      <c r="C7" s="14" t="n">
        <f aca="false">ROUND(B7*(1+Параметры!$B$7),0)</f>
        <v>29610</v>
      </c>
      <c r="D7" s="14" t="n">
        <f aca="false">ROUND(C7*(1+Параметры!$B$7),0)</f>
        <v>31091</v>
      </c>
      <c r="E7" s="14" t="n">
        <f aca="false">ROUND(D7*(1+Параметры!$B$7),0)</f>
        <v>32646</v>
      </c>
      <c r="F7" s="14" t="n">
        <f aca="false">ROUND(E7*(1+Параметры!$B$7),0)</f>
        <v>34278</v>
      </c>
      <c r="G7" s="14" t="n">
        <f aca="false">ROUND(F7*(1+Параметры!$B$7),0)</f>
        <v>35992</v>
      </c>
      <c r="H7" s="14" t="n">
        <f aca="false">ROUND(G7*(1+Параметры!$B$7),0)</f>
        <v>37792</v>
      </c>
      <c r="I7" s="14" t="n">
        <f aca="false">ROUND(H7*(1+Параметры!$B$7),0)</f>
        <v>39682</v>
      </c>
      <c r="J7" s="14" t="n">
        <f aca="false">ROUND(I7*(1+Параметры!$B$7),0)</f>
        <v>41666</v>
      </c>
      <c r="K7" s="14" t="n">
        <f aca="false">ROUND(J7*(1+Параметры!$B$7),0)</f>
        <v>43749</v>
      </c>
      <c r="L7" s="15" t="n">
        <f aca="false">SUM(B7:K7)</f>
        <v>354706</v>
      </c>
    </row>
    <row r="8" customFormat="false" ht="15" hidden="false" customHeight="true" outlineLevel="0" collapsed="false">
      <c r="A8" s="12" t="s">
        <v>72</v>
      </c>
      <c r="B8" s="11" t="n">
        <f aca="false">B6+B7</f>
        <v>167644</v>
      </c>
      <c r="C8" s="11" t="n">
        <f aca="false">C6+C7</f>
        <v>232380</v>
      </c>
      <c r="D8" s="11" t="n">
        <f aca="false">D6+D7</f>
        <v>424876</v>
      </c>
      <c r="E8" s="11" t="n">
        <f aca="false">E6+E7</f>
        <v>461585</v>
      </c>
      <c r="F8" s="11" t="n">
        <f aca="false">F6+F7</f>
        <v>501516</v>
      </c>
      <c r="G8" s="11" t="n">
        <f aca="false">G6+G7</f>
        <v>587060</v>
      </c>
      <c r="H8" s="11" t="n">
        <f aca="false">H6+H7</f>
        <v>638078</v>
      </c>
      <c r="I8" s="11" t="n">
        <f aca="false">I6+I7</f>
        <v>693625</v>
      </c>
      <c r="J8" s="11" t="n">
        <f aca="false">J6+J7</f>
        <v>754110</v>
      </c>
      <c r="K8" s="11" t="n">
        <f aca="false">K6+K7</f>
        <v>820042</v>
      </c>
      <c r="L8" s="11" t="n">
        <f aca="false">SUM(B8:K8)</f>
        <v>5280916</v>
      </c>
    </row>
    <row r="9" customFormat="false" ht="15" hidden="false" customHeight="true" outlineLevel="0" collapsed="false">
      <c r="A9" s="7" t="s">
        <v>73</v>
      </c>
      <c r="B9" s="14" t="n">
        <f aca="false">ROUND(85680*(1+Параметры!$B$6),0)+B7</f>
        <v>139755</v>
      </c>
      <c r="C9" s="14" t="n">
        <f aca="false">ROUND(93419*(1+Параметры!$B$6),0)+C7</f>
        <v>151242</v>
      </c>
      <c r="D9" s="14" t="n">
        <f aca="false">ROUND(120929*(1+Параметры!$B$6),0)+D7</f>
        <v>188541</v>
      </c>
      <c r="E9" s="14" t="n">
        <f aca="false">ROUND(131816*(1+Параметры!$B$6),0)+E7</f>
        <v>204270</v>
      </c>
      <c r="F9" s="14" t="n">
        <f aca="false">ROUND(143685*(1+Параметры!$B$6),0)+F7</f>
        <v>221356</v>
      </c>
      <c r="G9" s="14" t="n">
        <f aca="false">ROUND(169426*(1+Параметры!$B$6),0)+G7</f>
        <v>256585</v>
      </c>
      <c r="H9" s="14" t="n">
        <f aca="false">ROUND(184705*(1+Параметры!$B$6),0)+H7</f>
        <v>278278</v>
      </c>
      <c r="I9" s="14" t="n">
        <f aca="false">ROUND(201400*(1+Параметры!$B$6),0)+I7</f>
        <v>301905</v>
      </c>
      <c r="J9" s="14" t="n">
        <f aca="false">ROUND(219528*(1+Параметры!$B$6),0)+J7</f>
        <v>327491</v>
      </c>
      <c r="K9" s="14" t="n">
        <f aca="false">ROUND(239254*(1+Параметры!$B$6),0)+K7</f>
        <v>355258</v>
      </c>
      <c r="L9" s="15" t="n">
        <f aca="false">SUM(B9:K9)</f>
        <v>2424681</v>
      </c>
    </row>
    <row r="10" customFormat="false" ht="15" hidden="false" customHeight="true" outlineLevel="0" collapsed="false">
      <c r="A10" s="7" t="s">
        <v>74</v>
      </c>
      <c r="B10" s="15" t="n">
        <f aca="false">ROUND(B6/B2/12,0)</f>
        <v>465</v>
      </c>
      <c r="C10" s="15" t="n">
        <f aca="false">ROUND(C6/C2/12,0)</f>
        <v>676</v>
      </c>
      <c r="D10" s="15" t="n">
        <f aca="false">ROUND(D6/D2/12,0)</f>
        <v>1025</v>
      </c>
      <c r="E10" s="15" t="n">
        <f aca="false">ROUND(E6/E2/12,0)</f>
        <v>1117</v>
      </c>
      <c r="F10" s="15" t="n">
        <f aca="false">ROUND(F6/F2/12,0)</f>
        <v>1217</v>
      </c>
      <c r="G10" s="15" t="n">
        <f aca="false">ROUND(G6/G2/12,0)</f>
        <v>1312</v>
      </c>
      <c r="H10" s="15" t="n">
        <f aca="false">ROUND(H6/H2/12,0)</f>
        <v>1429</v>
      </c>
      <c r="I10" s="15" t="n">
        <f aca="false">ROUND(I6/I2/12,0)</f>
        <v>1557</v>
      </c>
      <c r="J10" s="15" t="n">
        <f aca="false">ROUND(J6/J2/12,0)</f>
        <v>1696</v>
      </c>
      <c r="K10" s="15" t="n">
        <f aca="false">ROUND(K6/K2/12,0)</f>
        <v>1848</v>
      </c>
      <c r="L10" s="9"/>
    </row>
    <row r="11" customFormat="false" ht="15" hidden="false" customHeight="true" outlineLevel="0" collapsed="false">
      <c r="A11" s="16" t="s">
        <v>75</v>
      </c>
      <c r="B11" s="17" t="n">
        <v>8000</v>
      </c>
      <c r="C11" s="17" t="n">
        <v>11500</v>
      </c>
      <c r="D11" s="17" t="n">
        <v>19000</v>
      </c>
      <c r="E11" s="17" t="n">
        <v>22000</v>
      </c>
      <c r="F11" s="17" t="n">
        <v>25000</v>
      </c>
      <c r="G11" s="17" t="n">
        <v>30000</v>
      </c>
      <c r="H11" s="17" t="n">
        <v>33000</v>
      </c>
      <c r="I11" s="17" t="n">
        <v>36500</v>
      </c>
      <c r="J11" s="17" t="n">
        <v>28000</v>
      </c>
      <c r="K11" s="17" t="n">
        <v>39000</v>
      </c>
      <c r="L11" s="18" t="n">
        <v>252000</v>
      </c>
    </row>
    <row r="12" customFormat="false" ht="15" hidden="false" customHeight="true" outlineLevel="0" collapsed="false">
      <c r="A12" s="19" t="s">
        <v>76</v>
      </c>
      <c r="B12" s="20" t="n">
        <f aca="false">B8+B11</f>
        <v>175644</v>
      </c>
      <c r="C12" s="20" t="n">
        <f aca="false">C8+C11</f>
        <v>243880</v>
      </c>
      <c r="D12" s="20" t="n">
        <f aca="false">D8+D11</f>
        <v>443876</v>
      </c>
      <c r="E12" s="20" t="n">
        <f aca="false">E8+E11</f>
        <v>483585</v>
      </c>
      <c r="F12" s="20" t="n">
        <f aca="false">F8+F11</f>
        <v>526516</v>
      </c>
      <c r="G12" s="20" t="n">
        <f aca="false">G8+G11</f>
        <v>617060</v>
      </c>
      <c r="H12" s="20" t="n">
        <f aca="false">H8+H11</f>
        <v>671078</v>
      </c>
      <c r="I12" s="20" t="n">
        <f aca="false">I8+I11</f>
        <v>730125</v>
      </c>
      <c r="J12" s="20" t="n">
        <f aca="false">J8+J11</f>
        <v>782110</v>
      </c>
      <c r="K12" s="20" t="n">
        <f aca="false">K8+K11</f>
        <v>859042</v>
      </c>
      <c r="L12" s="21" t="n">
        <f aca="false">L8+L11</f>
        <v>5532916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5" hidden="false" customHeight="true" outlineLevel="0" collapsed="false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</row>
    <row r="2" customFormat="false" ht="15" hidden="false" customHeight="true" outlineLevel="0" collapsed="false">
      <c r="A2" s="7" t="s">
        <v>77</v>
      </c>
      <c r="B2" s="10" t="n">
        <v>400</v>
      </c>
      <c r="C2" s="10" t="n">
        <v>650</v>
      </c>
      <c r="D2" s="10" t="n">
        <v>850</v>
      </c>
      <c r="E2" s="10" t="n">
        <v>950</v>
      </c>
      <c r="F2" s="10" t="n">
        <v>1050</v>
      </c>
      <c r="G2" s="10" t="n">
        <v>1133</v>
      </c>
      <c r="H2" s="10" t="n">
        <v>1194</v>
      </c>
      <c r="I2" s="10" t="n">
        <v>1256</v>
      </c>
      <c r="J2" s="10" t="n">
        <v>1317</v>
      </c>
      <c r="K2" s="10" t="n">
        <v>1350</v>
      </c>
      <c r="L2" s="15" t="n">
        <f aca="false">SUM(B2:K2)</f>
        <v>10150</v>
      </c>
    </row>
    <row r="3" customFormat="false" ht="15" hidden="false" customHeight="true" outlineLevel="0" collapsed="false">
      <c r="A3" s="7" t="s">
        <v>78</v>
      </c>
      <c r="B3" s="10" t="n">
        <v>200</v>
      </c>
      <c r="C3" s="10" t="n">
        <v>380</v>
      </c>
      <c r="D3" s="10" t="n">
        <v>520</v>
      </c>
      <c r="E3" s="10" t="n">
        <v>600</v>
      </c>
      <c r="F3" s="10" t="n">
        <v>680</v>
      </c>
      <c r="G3" s="10" t="n">
        <v>752</v>
      </c>
      <c r="H3" s="10" t="n">
        <v>809</v>
      </c>
      <c r="I3" s="10" t="n">
        <v>866</v>
      </c>
      <c r="J3" s="10" t="n">
        <v>923</v>
      </c>
      <c r="K3" s="10" t="n">
        <v>960</v>
      </c>
      <c r="L3" s="15" t="n">
        <f aca="false">SUM(B3:K3)</f>
        <v>6690</v>
      </c>
    </row>
    <row r="4" customFormat="false" ht="15" hidden="false" customHeight="true" outlineLevel="0" collapsed="false">
      <c r="A4" s="7" t="s">
        <v>79</v>
      </c>
      <c r="B4" s="10" t="n">
        <v>250</v>
      </c>
      <c r="C4" s="10" t="n">
        <v>500</v>
      </c>
      <c r="D4" s="10" t="n">
        <v>750</v>
      </c>
      <c r="E4" s="10" t="n">
        <v>900</v>
      </c>
      <c r="F4" s="10" t="n">
        <v>1050</v>
      </c>
      <c r="G4" s="10" t="n">
        <v>1234</v>
      </c>
      <c r="H4" s="10" t="n">
        <v>1354</v>
      </c>
      <c r="I4" s="10" t="n">
        <v>1422</v>
      </c>
      <c r="J4" s="10" t="n">
        <v>1540</v>
      </c>
      <c r="K4" s="10" t="n">
        <v>1600</v>
      </c>
      <c r="L4" s="15" t="n">
        <f aca="false">SUM(B4:K4)</f>
        <v>10600</v>
      </c>
    </row>
    <row r="5" customFormat="false" ht="15" hidden="false" customHeight="true" outlineLevel="0" collapsed="false">
      <c r="A5" s="7" t="s">
        <v>80</v>
      </c>
      <c r="B5" s="10" t="n">
        <v>120</v>
      </c>
      <c r="C5" s="10" t="n">
        <v>250</v>
      </c>
      <c r="D5" s="10" t="n">
        <v>380</v>
      </c>
      <c r="E5" s="10" t="n">
        <v>450</v>
      </c>
      <c r="F5" s="10" t="n">
        <v>520</v>
      </c>
      <c r="G5" s="10" t="n">
        <v>579</v>
      </c>
      <c r="H5" s="10" t="n">
        <v>628</v>
      </c>
      <c r="I5" s="10" t="n">
        <v>677</v>
      </c>
      <c r="J5" s="10" t="n">
        <v>726</v>
      </c>
      <c r="K5" s="10" t="n">
        <v>760</v>
      </c>
      <c r="L5" s="15" t="n">
        <f aca="false">SUM(B5:K5)</f>
        <v>5090</v>
      </c>
    </row>
    <row r="6" customFormat="false" ht="15" hidden="false" customHeight="true" outlineLevel="0" collapsed="false">
      <c r="A6" s="7" t="s">
        <v>81</v>
      </c>
      <c r="B6" s="10" t="n">
        <v>80</v>
      </c>
      <c r="C6" s="10" t="n">
        <v>170</v>
      </c>
      <c r="D6" s="10" t="n">
        <v>250</v>
      </c>
      <c r="E6" s="10" t="n">
        <v>300</v>
      </c>
      <c r="F6" s="10" t="n">
        <v>350</v>
      </c>
      <c r="G6" s="10" t="n">
        <v>395</v>
      </c>
      <c r="H6" s="10" t="n">
        <v>433</v>
      </c>
      <c r="I6" s="10" t="n">
        <v>472</v>
      </c>
      <c r="J6" s="10" t="n">
        <v>510</v>
      </c>
      <c r="K6" s="10" t="n">
        <v>540</v>
      </c>
      <c r="L6" s="15" t="n">
        <f aca="false">SUM(B6:K6)</f>
        <v>3500</v>
      </c>
    </row>
    <row r="7" customFormat="false" ht="15" hidden="false" customHeight="true" outlineLevel="0" collapsed="false">
      <c r="A7" s="7" t="s">
        <v>82</v>
      </c>
      <c r="B7" s="10" t="n">
        <v>50</v>
      </c>
      <c r="C7" s="10" t="n">
        <v>100</v>
      </c>
      <c r="D7" s="10" t="n">
        <v>150</v>
      </c>
      <c r="E7" s="10" t="n">
        <v>175</v>
      </c>
      <c r="F7" s="10" t="n">
        <v>200</v>
      </c>
      <c r="G7" s="10" t="n">
        <v>221</v>
      </c>
      <c r="H7" s="10" t="n">
        <v>241</v>
      </c>
      <c r="I7" s="10" t="n">
        <v>261</v>
      </c>
      <c r="J7" s="10" t="n">
        <v>282</v>
      </c>
      <c r="K7" s="10" t="n">
        <v>300</v>
      </c>
      <c r="L7" s="15" t="n">
        <f aca="false">SUM(B7:K7)</f>
        <v>1980</v>
      </c>
    </row>
    <row r="8" customFormat="false" ht="15" hidden="false" customHeight="true" outlineLevel="0" collapsed="false">
      <c r="A8" s="7" t="s">
        <v>83</v>
      </c>
      <c r="B8" s="10" t="n">
        <v>0</v>
      </c>
      <c r="C8" s="10" t="n">
        <v>0</v>
      </c>
      <c r="D8" s="10" t="n">
        <v>0</v>
      </c>
      <c r="E8" s="10" t="n">
        <v>25</v>
      </c>
      <c r="F8" s="10" t="n">
        <v>50</v>
      </c>
      <c r="G8" s="10" t="n">
        <v>36</v>
      </c>
      <c r="H8" s="10" t="n">
        <v>41</v>
      </c>
      <c r="I8" s="10" t="n">
        <v>46</v>
      </c>
      <c r="J8" s="10" t="n">
        <v>52</v>
      </c>
      <c r="K8" s="10" t="n">
        <v>90</v>
      </c>
      <c r="L8" s="15" t="n">
        <f aca="false">SUM(B8:K8)</f>
        <v>340</v>
      </c>
    </row>
    <row r="9" customFormat="false" ht="15" hidden="false" customHeight="true" outlineLevel="0" collapsed="false">
      <c r="A9" s="12" t="s">
        <v>84</v>
      </c>
      <c r="B9" s="11" t="n">
        <f aca="false">SUM(B2:B8)</f>
        <v>1100</v>
      </c>
      <c r="C9" s="11" t="n">
        <f aca="false">SUM(C2:C8)</f>
        <v>2050</v>
      </c>
      <c r="D9" s="11" t="n">
        <f aca="false">SUM(D2:D8)</f>
        <v>2900</v>
      </c>
      <c r="E9" s="11" t="n">
        <f aca="false">SUM(E2:E8)</f>
        <v>3400</v>
      </c>
      <c r="F9" s="11" t="n">
        <f aca="false">SUM(F2:F8)</f>
        <v>3900</v>
      </c>
      <c r="G9" s="11" t="n">
        <f aca="false">SUM(G2:G8)</f>
        <v>4350</v>
      </c>
      <c r="H9" s="11" t="n">
        <f aca="false">SUM(H2:H8)</f>
        <v>4700</v>
      </c>
      <c r="I9" s="11" t="n">
        <f aca="false">SUM(I2:I8)</f>
        <v>5000</v>
      </c>
      <c r="J9" s="11" t="n">
        <f aca="false">SUM(J2:J8)</f>
        <v>5350</v>
      </c>
      <c r="K9" s="11" t="n">
        <f aca="false">SUM(K2:K8)</f>
        <v>5600</v>
      </c>
      <c r="L9" s="11" t="n">
        <f aca="false">SUM(B9:K9)</f>
        <v>38350</v>
      </c>
    </row>
    <row r="10" customFormat="false" ht="15" hidden="false" customHeight="true" outlineLevel="0" collapsed="false">
      <c r="A10" s="7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5" hidden="false" customHeight="true" outlineLevel="0" collapsed="false">
      <c r="A11" s="7" t="s">
        <v>85</v>
      </c>
      <c r="B11" s="15" t="n">
        <f aca="false">B2+B4+B5</f>
        <v>770</v>
      </c>
      <c r="C11" s="15" t="n">
        <f aca="false">C2+C4+C5</f>
        <v>1400</v>
      </c>
      <c r="D11" s="15" t="n">
        <f aca="false">D2+D4+D5</f>
        <v>1980</v>
      </c>
      <c r="E11" s="15" t="n">
        <f aca="false">E2+E4+E5</f>
        <v>2300</v>
      </c>
      <c r="F11" s="15" t="n">
        <f aca="false">F2+F4+F5</f>
        <v>2620</v>
      </c>
      <c r="G11" s="15" t="n">
        <f aca="false">G2+G4+G5</f>
        <v>2946</v>
      </c>
      <c r="H11" s="15" t="n">
        <f aca="false">H2+H4+H5</f>
        <v>3176</v>
      </c>
      <c r="I11" s="15" t="n">
        <f aca="false">I2+I4+I5</f>
        <v>3355</v>
      </c>
      <c r="J11" s="15" t="n">
        <f aca="false">J2+J4+J5</f>
        <v>3583</v>
      </c>
      <c r="K11" s="15" t="n">
        <f aca="false">K2+K4+K5</f>
        <v>3710</v>
      </c>
      <c r="L11" s="15" t="n">
        <f aca="false">SUM(B11:K11)</f>
        <v>25840</v>
      </c>
    </row>
    <row r="12" customFormat="false" ht="15" hidden="false" customHeight="true" outlineLevel="0" collapsed="false">
      <c r="A12" s="7" t="s">
        <v>86</v>
      </c>
      <c r="B12" s="15" t="n">
        <f aca="false">B3+B6</f>
        <v>280</v>
      </c>
      <c r="C12" s="15" t="n">
        <f aca="false">C3+C6</f>
        <v>550</v>
      </c>
      <c r="D12" s="15" t="n">
        <f aca="false">D3+D6</f>
        <v>770</v>
      </c>
      <c r="E12" s="15" t="n">
        <f aca="false">E3+E6</f>
        <v>900</v>
      </c>
      <c r="F12" s="15" t="n">
        <f aca="false">F3+F6</f>
        <v>1030</v>
      </c>
      <c r="G12" s="15" t="n">
        <f aca="false">G3+G6</f>
        <v>1147</v>
      </c>
      <c r="H12" s="15" t="n">
        <f aca="false">H3+H6</f>
        <v>1242</v>
      </c>
      <c r="I12" s="15" t="n">
        <f aca="false">I3+I6</f>
        <v>1338</v>
      </c>
      <c r="J12" s="15" t="n">
        <f aca="false">J3+J6</f>
        <v>1433</v>
      </c>
      <c r="K12" s="15" t="n">
        <f aca="false">K3+K6</f>
        <v>1500</v>
      </c>
      <c r="L12" s="15" t="n">
        <f aca="false">SUM(B12:K12)</f>
        <v>10190</v>
      </c>
    </row>
    <row r="13" customFormat="false" ht="15" hidden="false" customHeight="true" outlineLevel="0" collapsed="false">
      <c r="A13" s="7" t="s">
        <v>87</v>
      </c>
      <c r="B13" s="15" t="n">
        <f aca="false">B7+B8</f>
        <v>50</v>
      </c>
      <c r="C13" s="15" t="n">
        <f aca="false">C7+C8</f>
        <v>100</v>
      </c>
      <c r="D13" s="15" t="n">
        <f aca="false">D7+D8</f>
        <v>150</v>
      </c>
      <c r="E13" s="15" t="n">
        <f aca="false">E7+E8</f>
        <v>200</v>
      </c>
      <c r="F13" s="15" t="n">
        <f aca="false">F7+F8</f>
        <v>250</v>
      </c>
      <c r="G13" s="15" t="n">
        <f aca="false">G7+G8</f>
        <v>257</v>
      </c>
      <c r="H13" s="15" t="n">
        <f aca="false">H7+H8</f>
        <v>282</v>
      </c>
      <c r="I13" s="15" t="n">
        <f aca="false">I7+I8</f>
        <v>307</v>
      </c>
      <c r="J13" s="15" t="n">
        <f aca="false">J7+J8</f>
        <v>334</v>
      </c>
      <c r="K13" s="15" t="n">
        <f aca="false">K7+K8</f>
        <v>390</v>
      </c>
      <c r="L13" s="15" t="n">
        <f aca="false">SUM(B13:K13)</f>
        <v>2320</v>
      </c>
    </row>
    <row r="14" customFormat="false" ht="15" hidden="false" customHeight="true" outlineLevel="0" collapsed="false">
      <c r="A14" s="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" hidden="false" customHeight="true" outlineLevel="0" collapsed="false">
      <c r="A15" s="7" t="s">
        <v>88</v>
      </c>
      <c r="B15" s="14" t="n">
        <f aca="false">ROUND(B11*Параметры!$B$21,0)</f>
        <v>462</v>
      </c>
      <c r="C15" s="14" t="n">
        <f aca="false">ROUND(C11*Параметры!$B$21,0)</f>
        <v>840</v>
      </c>
      <c r="D15" s="14" t="n">
        <f aca="false">ROUND(D11*Параметры!$B$21,0)</f>
        <v>1188</v>
      </c>
      <c r="E15" s="14" t="n">
        <f aca="false">ROUND(E11*Параметры!$B$21,0)</f>
        <v>1380</v>
      </c>
      <c r="F15" s="14" t="n">
        <f aca="false">ROUND(F11*Параметры!$B$21,0)</f>
        <v>1572</v>
      </c>
      <c r="G15" s="14" t="n">
        <f aca="false">ROUND(G11*Параметры!$B$21,0)</f>
        <v>1768</v>
      </c>
      <c r="H15" s="14" t="n">
        <f aca="false">ROUND(H11*Параметры!$B$21,0)</f>
        <v>1906</v>
      </c>
      <c r="I15" s="14" t="n">
        <f aca="false">ROUND(I11*Параметры!$B$21,0)</f>
        <v>2013</v>
      </c>
      <c r="J15" s="14" t="n">
        <f aca="false">ROUND(J11*Параметры!$B$21,0)</f>
        <v>2150</v>
      </c>
      <c r="K15" s="14" t="n">
        <f aca="false">ROUND(K11*Параметры!$B$21,0)</f>
        <v>2226</v>
      </c>
      <c r="L15" s="15" t="n">
        <f aca="false">SUM(B15:K15)</f>
        <v>15505</v>
      </c>
    </row>
    <row r="16" customFormat="false" ht="15" hidden="false" customHeight="true" outlineLevel="0" collapsed="false">
      <c r="A16" s="7" t="s">
        <v>89</v>
      </c>
      <c r="B16" s="14" t="n">
        <f aca="false">ROUND(B12*Параметры!$B$22,0)</f>
        <v>126</v>
      </c>
      <c r="C16" s="14" t="n">
        <f aca="false">ROUND(C12*Параметры!$B$22,0)</f>
        <v>248</v>
      </c>
      <c r="D16" s="14" t="n">
        <f aca="false">ROUND(D12*Параметры!$B$22,0)</f>
        <v>347</v>
      </c>
      <c r="E16" s="14" t="n">
        <f aca="false">ROUND(E12*Параметры!$B$22,0)</f>
        <v>405</v>
      </c>
      <c r="F16" s="14" t="n">
        <f aca="false">ROUND(F12*Параметры!$B$22,0)</f>
        <v>464</v>
      </c>
      <c r="G16" s="14" t="n">
        <f aca="false">ROUND(G12*Параметры!$B$22,0)</f>
        <v>516</v>
      </c>
      <c r="H16" s="14" t="n">
        <f aca="false">ROUND(H12*Параметры!$B$22,0)</f>
        <v>559</v>
      </c>
      <c r="I16" s="14" t="n">
        <f aca="false">ROUND(I12*Параметры!$B$22,0)</f>
        <v>602</v>
      </c>
      <c r="J16" s="14" t="n">
        <f aca="false">ROUND(J12*Параметры!$B$22,0)</f>
        <v>645</v>
      </c>
      <c r="K16" s="14" t="n">
        <f aca="false">ROUND(K12*Параметры!$B$22,0)</f>
        <v>675</v>
      </c>
      <c r="L16" s="15" t="n">
        <f aca="false">SUM(B16:K16)</f>
        <v>4587</v>
      </c>
    </row>
    <row r="17" customFormat="false" ht="15" hidden="false" customHeight="true" outlineLevel="0" collapsed="false">
      <c r="A17" s="7" t="s">
        <v>90</v>
      </c>
      <c r="B17" s="14" t="n">
        <f aca="false">ROUND(B13*Параметры!$B$23,0)</f>
        <v>10</v>
      </c>
      <c r="C17" s="14" t="n">
        <f aca="false">ROUND(C13*Параметры!$B$23,0)</f>
        <v>20</v>
      </c>
      <c r="D17" s="14" t="n">
        <f aca="false">ROUND(D13*Параметры!$B$23,0)</f>
        <v>30</v>
      </c>
      <c r="E17" s="14" t="n">
        <f aca="false">ROUND(E13*Параметры!$B$23,0)</f>
        <v>40</v>
      </c>
      <c r="F17" s="14" t="n">
        <f aca="false">ROUND(F13*Параметры!$B$23,0)</f>
        <v>50</v>
      </c>
      <c r="G17" s="14" t="n">
        <f aca="false">ROUND(G13*Параметры!$B$23,0)</f>
        <v>51</v>
      </c>
      <c r="H17" s="14" t="n">
        <f aca="false">ROUND(H13*Параметры!$B$23,0)</f>
        <v>56</v>
      </c>
      <c r="I17" s="14" t="n">
        <f aca="false">ROUND(I13*Параметры!$B$23,0)</f>
        <v>61</v>
      </c>
      <c r="J17" s="14" t="n">
        <f aca="false">ROUND(J13*Параметры!$B$23,0)</f>
        <v>67</v>
      </c>
      <c r="K17" s="14" t="n">
        <f aca="false">ROUND(K13*Параметры!$B$23,0)</f>
        <v>78</v>
      </c>
      <c r="L17" s="15" t="n">
        <f aca="false">SUM(B17:K17)</f>
        <v>463</v>
      </c>
    </row>
    <row r="18" customFormat="false" ht="15" hidden="false" customHeight="true" outlineLevel="0" collapsed="false">
      <c r="A18" s="12" t="s">
        <v>91</v>
      </c>
      <c r="B18" s="11" t="n">
        <f aca="false">B15+B16+B17</f>
        <v>598</v>
      </c>
      <c r="C18" s="11" t="n">
        <f aca="false">C15+C16+C17</f>
        <v>1108</v>
      </c>
      <c r="D18" s="11" t="n">
        <f aca="false">D15+D16+D17</f>
        <v>1565</v>
      </c>
      <c r="E18" s="11" t="n">
        <f aca="false">E15+E16+E17</f>
        <v>1825</v>
      </c>
      <c r="F18" s="11" t="n">
        <f aca="false">F15+F16+F17</f>
        <v>2086</v>
      </c>
      <c r="G18" s="11" t="n">
        <f aca="false">G15+G16+G17</f>
        <v>2335</v>
      </c>
      <c r="H18" s="11" t="n">
        <f aca="false">H15+H16+H17</f>
        <v>2521</v>
      </c>
      <c r="I18" s="11" t="n">
        <f aca="false">I15+I16+I17</f>
        <v>2676</v>
      </c>
      <c r="J18" s="11" t="n">
        <f aca="false">J15+J16+J17</f>
        <v>2862</v>
      </c>
      <c r="K18" s="11" t="n">
        <f aca="false">K15+K16+K17</f>
        <v>2979</v>
      </c>
      <c r="L18" s="11" t="n">
        <f aca="false">SUM(B18:K18)</f>
        <v>20555</v>
      </c>
    </row>
    <row r="19" customFormat="false" ht="15" hidden="false" customHeight="true" outlineLevel="0" collapsed="false">
      <c r="A19" s="7" t="s">
        <v>92</v>
      </c>
      <c r="B19" s="22" t="n">
        <f aca="false">IF(B9=0,0,B18/B9)</f>
        <v>0.543636363636364</v>
      </c>
      <c r="C19" s="22" t="n">
        <f aca="false">IF(C9=0,0,C18/C9)</f>
        <v>0.540487804878049</v>
      </c>
      <c r="D19" s="22" t="n">
        <f aca="false">IF(D9=0,0,D18/D9)</f>
        <v>0.539655172413793</v>
      </c>
      <c r="E19" s="22" t="n">
        <f aca="false">IF(E9=0,0,E18/E9)</f>
        <v>0.536764705882353</v>
      </c>
      <c r="F19" s="22" t="n">
        <f aca="false">IF(F9=0,0,F18/F9)</f>
        <v>0.534871794871795</v>
      </c>
      <c r="G19" s="22" t="n">
        <f aca="false">IF(G9=0,0,G18/G9)</f>
        <v>0.536781609195402</v>
      </c>
      <c r="H19" s="22" t="n">
        <f aca="false">IF(H9=0,0,H18/H9)</f>
        <v>0.536382978723404</v>
      </c>
      <c r="I19" s="22" t="n">
        <f aca="false">IF(I9=0,0,I18/I9)</f>
        <v>0.5352</v>
      </c>
      <c r="J19" s="22" t="n">
        <f aca="false">IF(J9=0,0,J18/J9)</f>
        <v>0.534953271028037</v>
      </c>
      <c r="K19" s="22" t="n">
        <f aca="false">IF(K9=0,0,K18/K9)</f>
        <v>0.531964285714286</v>
      </c>
      <c r="L19" s="9"/>
    </row>
    <row r="21" customFormat="false" ht="15" hidden="false" customHeight="true" outlineLevel="0" collapsed="false">
      <c r="A21" s="2" t="s">
        <v>93</v>
      </c>
    </row>
    <row r="22" customFormat="false" ht="15" hidden="false" customHeight="true" outlineLevel="0" collapsed="false">
      <c r="A22" s="1" t="s">
        <v>94</v>
      </c>
      <c r="B22" s="23" t="n">
        <f aca="false">ROUND(B11*Параметры!$B$26,0)</f>
        <v>578</v>
      </c>
      <c r="C22" s="23" t="n">
        <f aca="false">ROUND(C11*Параметры!$B$26,0)</f>
        <v>1050</v>
      </c>
      <c r="D22" s="23" t="n">
        <f aca="false">ROUND(D11*Параметры!$B$26,0)</f>
        <v>1485</v>
      </c>
      <c r="E22" s="23" t="n">
        <f aca="false">ROUND(E11*Параметры!$B$26,0)</f>
        <v>1725</v>
      </c>
      <c r="F22" s="23" t="n">
        <f aca="false">ROUND(F11*Параметры!$B$26,0)</f>
        <v>1965</v>
      </c>
      <c r="G22" s="23" t="n">
        <f aca="false">ROUND(G11*Параметры!$B$26,0)</f>
        <v>2210</v>
      </c>
      <c r="H22" s="23" t="n">
        <f aca="false">ROUND(H11*Параметры!$B$26,0)</f>
        <v>2382</v>
      </c>
      <c r="I22" s="23" t="n">
        <f aca="false">ROUND(I11*Параметры!$B$26,0)</f>
        <v>2516</v>
      </c>
      <c r="J22" s="23" t="n">
        <f aca="false">ROUND(J11*Параметры!$B$26,0)</f>
        <v>2687</v>
      </c>
      <c r="K22" s="23" t="n">
        <f aca="false">ROUND(K11*Параметры!$B$26,0)</f>
        <v>2783</v>
      </c>
      <c r="L22" s="1" t="n">
        <f aca="false">SUM(B22:K22)</f>
        <v>19381</v>
      </c>
    </row>
    <row r="23" customFormat="false" ht="15" hidden="false" customHeight="true" outlineLevel="0" collapsed="false">
      <c r="A23" s="1" t="s">
        <v>95</v>
      </c>
      <c r="B23" s="23" t="n">
        <f aca="false">ROUND(B12*Параметры!$B$27,0)</f>
        <v>140</v>
      </c>
      <c r="C23" s="23" t="n">
        <f aca="false">ROUND(C12*Параметры!$B$27,0)</f>
        <v>275</v>
      </c>
      <c r="D23" s="23" t="n">
        <f aca="false">ROUND(D12*Параметры!$B$27,0)</f>
        <v>385</v>
      </c>
      <c r="E23" s="23" t="n">
        <f aca="false">ROUND(E12*Параметры!$B$27,0)</f>
        <v>450</v>
      </c>
      <c r="F23" s="23" t="n">
        <f aca="false">ROUND(F12*Параметры!$B$27,0)</f>
        <v>515</v>
      </c>
      <c r="G23" s="23" t="n">
        <f aca="false">ROUND(G12*Параметры!$B$27,0)</f>
        <v>574</v>
      </c>
      <c r="H23" s="23" t="n">
        <f aca="false">ROUND(H12*Параметры!$B$27,0)</f>
        <v>621</v>
      </c>
      <c r="I23" s="23" t="n">
        <f aca="false">ROUND(I12*Параметры!$B$27,0)</f>
        <v>669</v>
      </c>
      <c r="J23" s="23" t="n">
        <f aca="false">ROUND(J12*Параметры!$B$27,0)</f>
        <v>717</v>
      </c>
      <c r="K23" s="23" t="n">
        <f aca="false">ROUND(K12*Параметры!$B$27,0)</f>
        <v>750</v>
      </c>
      <c r="L23" s="1" t="n">
        <f aca="false">SUM(B23:K23)</f>
        <v>5096</v>
      </c>
    </row>
    <row r="24" customFormat="false" ht="15" hidden="false" customHeight="true" outlineLevel="0" collapsed="false">
      <c r="A24" s="1" t="s">
        <v>96</v>
      </c>
      <c r="B24" s="23" t="n">
        <f aca="false">ROUND(B13*Параметры!$B$28,0)</f>
        <v>13</v>
      </c>
      <c r="C24" s="23" t="n">
        <f aca="false">ROUND(C13*Параметры!$B$28,0)</f>
        <v>25</v>
      </c>
      <c r="D24" s="23" t="n">
        <f aca="false">ROUND(D13*Параметры!$B$28,0)</f>
        <v>38</v>
      </c>
      <c r="E24" s="23" t="n">
        <f aca="false">ROUND(E13*Параметры!$B$28,0)</f>
        <v>50</v>
      </c>
      <c r="F24" s="23" t="n">
        <f aca="false">ROUND(F13*Параметры!$B$28,0)</f>
        <v>63</v>
      </c>
      <c r="G24" s="23" t="n">
        <f aca="false">ROUND(G13*Параметры!$B$28,0)</f>
        <v>64</v>
      </c>
      <c r="H24" s="23" t="n">
        <f aca="false">ROUND(H13*Параметры!$B$28,0)</f>
        <v>71</v>
      </c>
      <c r="I24" s="23" t="n">
        <f aca="false">ROUND(I13*Параметры!$B$28,0)</f>
        <v>77</v>
      </c>
      <c r="J24" s="23" t="n">
        <f aca="false">ROUND(J13*Параметры!$B$28,0)</f>
        <v>84</v>
      </c>
      <c r="K24" s="23" t="n">
        <f aca="false">ROUND(K13*Параметры!$B$28,0)</f>
        <v>98</v>
      </c>
      <c r="L24" s="1" t="n">
        <f aca="false">SUM(B24:K24)</f>
        <v>583</v>
      </c>
    </row>
    <row r="25" customFormat="false" ht="15" hidden="false" customHeight="true" outlineLevel="0" collapsed="false">
      <c r="A25" s="2" t="s">
        <v>97</v>
      </c>
      <c r="B25" s="24" t="n">
        <f aca="false">B22+B23+B24</f>
        <v>731</v>
      </c>
      <c r="C25" s="24" t="n">
        <f aca="false">C22+C23+C24</f>
        <v>1350</v>
      </c>
      <c r="D25" s="24" t="n">
        <f aca="false">D22+D23+D24</f>
        <v>1908</v>
      </c>
      <c r="E25" s="24" t="n">
        <f aca="false">E22+E23+E24</f>
        <v>2225</v>
      </c>
      <c r="F25" s="24" t="n">
        <f aca="false">F22+F23+F24</f>
        <v>2543</v>
      </c>
      <c r="G25" s="24" t="n">
        <f aca="false">G22+G23+G24</f>
        <v>2848</v>
      </c>
      <c r="H25" s="24" t="n">
        <f aca="false">H22+H23+H24</f>
        <v>3074</v>
      </c>
      <c r="I25" s="24" t="n">
        <f aca="false">I22+I23+I24</f>
        <v>3262</v>
      </c>
      <c r="J25" s="24" t="n">
        <f aca="false">J22+J23+J24</f>
        <v>3488</v>
      </c>
      <c r="K25" s="24" t="n">
        <f aca="false">K22+K23+K24</f>
        <v>3631</v>
      </c>
      <c r="L25" s="2" t="n">
        <f aca="false">SUM(B25:K25)</f>
        <v>25060</v>
      </c>
    </row>
    <row r="26" customFormat="false" ht="15" hidden="false" customHeight="true" outlineLevel="0" collapsed="false">
      <c r="A26" s="1" t="s">
        <v>98</v>
      </c>
      <c r="B26" s="25" t="n">
        <f aca="false">IF(B9=0,0,B25/B9)</f>
        <v>0.664545454545455</v>
      </c>
      <c r="C26" s="25" t="n">
        <f aca="false">IF(C9=0,0,C25/C9)</f>
        <v>0.658536585365854</v>
      </c>
      <c r="D26" s="25" t="n">
        <f aca="false">IF(D9=0,0,D25/D9)</f>
        <v>0.657931034482759</v>
      </c>
      <c r="E26" s="25" t="n">
        <f aca="false">IF(E9=0,0,E25/E9)</f>
        <v>0.654411764705882</v>
      </c>
      <c r="F26" s="25" t="n">
        <f aca="false">IF(F9=0,0,F25/F9)</f>
        <v>0.652051282051282</v>
      </c>
      <c r="G26" s="25" t="n">
        <f aca="false">IF(G9=0,0,G25/G9)</f>
        <v>0.654712643678161</v>
      </c>
      <c r="H26" s="25" t="n">
        <f aca="false">IF(H9=0,0,H25/H9)</f>
        <v>0.654042553191489</v>
      </c>
      <c r="I26" s="25" t="n">
        <f aca="false">IF(I9=0,0,I25/I9)</f>
        <v>0.6524</v>
      </c>
      <c r="J26" s="25" t="n">
        <f aca="false">IF(J9=0,0,J25/J9)</f>
        <v>0.65196261682243</v>
      </c>
      <c r="K26" s="25" t="n">
        <f aca="false">IF(K9=0,0,K25/K9)</f>
        <v>0.648392857142857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5"/>
  </cols>
  <sheetData>
    <row r="1" customFormat="false" ht="15" hidden="false" customHeight="true" outlineLevel="0" collapsed="false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</row>
    <row r="2" customFormat="false" ht="15" hidden="false" customHeight="true" outlineLevel="0" collapsed="false">
      <c r="A2" s="7" t="s">
        <v>99</v>
      </c>
      <c r="B2" s="14" t="n">
        <f aca="false">TCV_Детализация!B9</f>
        <v>1100</v>
      </c>
      <c r="C2" s="14" t="n">
        <f aca="false">TCV_Детализация!C9</f>
        <v>2050</v>
      </c>
      <c r="D2" s="14" t="n">
        <f aca="false">TCV_Детализация!D9</f>
        <v>2900</v>
      </c>
      <c r="E2" s="14" t="n">
        <f aca="false">TCV_Детализация!E9</f>
        <v>3400</v>
      </c>
      <c r="F2" s="14" t="n">
        <f aca="false">TCV_Детализация!F9</f>
        <v>3900</v>
      </c>
      <c r="G2" s="14" t="n">
        <f aca="false">TCV_Детализация!G9</f>
        <v>4350</v>
      </c>
      <c r="H2" s="14" t="n">
        <f aca="false">TCV_Детализация!H9</f>
        <v>4700</v>
      </c>
      <c r="I2" s="14" t="n">
        <f aca="false">TCV_Детализация!I9</f>
        <v>5000</v>
      </c>
      <c r="J2" s="14" t="n">
        <f aca="false">TCV_Детализация!J9</f>
        <v>5350</v>
      </c>
      <c r="K2" s="14" t="n">
        <f aca="false">TCV_Детализация!K9</f>
        <v>5600</v>
      </c>
      <c r="L2" s="15" t="n">
        <f aca="false">SUM(B2:K2)</f>
        <v>38350</v>
      </c>
    </row>
    <row r="3" customFormat="false" ht="15" hidden="false" customHeight="true" outlineLevel="0" collapsed="false">
      <c r="A3" s="7" t="s">
        <v>100</v>
      </c>
      <c r="B3" s="14" t="n">
        <f aca="false">TCV_Детализация!B18</f>
        <v>598</v>
      </c>
      <c r="C3" s="14" t="n">
        <f aca="false">TCV_Детализация!C18</f>
        <v>1108</v>
      </c>
      <c r="D3" s="14" t="n">
        <f aca="false">TCV_Детализация!D18</f>
        <v>1565</v>
      </c>
      <c r="E3" s="14" t="n">
        <f aca="false">TCV_Детализация!E18</f>
        <v>1825</v>
      </c>
      <c r="F3" s="14" t="n">
        <f aca="false">TCV_Детализация!F18</f>
        <v>2086</v>
      </c>
      <c r="G3" s="14" t="n">
        <f aca="false">TCV_Детализация!G18</f>
        <v>2335</v>
      </c>
      <c r="H3" s="14" t="n">
        <f aca="false">TCV_Детализация!H18</f>
        <v>2521</v>
      </c>
      <c r="I3" s="14" t="n">
        <f aca="false">TCV_Детализация!I18</f>
        <v>2676</v>
      </c>
      <c r="J3" s="14" t="n">
        <f aca="false">TCV_Детализация!J18</f>
        <v>2862</v>
      </c>
      <c r="K3" s="14" t="n">
        <f aca="false">TCV_Детализация!K18</f>
        <v>2979</v>
      </c>
      <c r="L3" s="15" t="n">
        <f aca="false">SUM(B3:K3)</f>
        <v>20555</v>
      </c>
    </row>
    <row r="4" customFormat="false" ht="15" hidden="false" customHeight="true" outlineLevel="0" collapsed="false">
      <c r="A4" s="7" t="s">
        <v>101</v>
      </c>
      <c r="B4" s="14" t="n">
        <f aca="false">ФОТ_B_v6!B8</f>
        <v>167644</v>
      </c>
      <c r="C4" s="14" t="n">
        <f aca="false">ФОТ_B_v6!C8</f>
        <v>232380</v>
      </c>
      <c r="D4" s="14" t="n">
        <f aca="false">ФОТ_B_v6!D8</f>
        <v>424876</v>
      </c>
      <c r="E4" s="14" t="n">
        <f aca="false">ФОТ_B_v6!E8</f>
        <v>461585</v>
      </c>
      <c r="F4" s="14" t="n">
        <f aca="false">ФОТ_B_v6!F8</f>
        <v>501516</v>
      </c>
      <c r="G4" s="14" t="n">
        <f aca="false">ФОТ_B_v6!G8</f>
        <v>587060</v>
      </c>
      <c r="H4" s="14" t="n">
        <f aca="false">ФОТ_B_v6!H8</f>
        <v>638078</v>
      </c>
      <c r="I4" s="14" t="n">
        <f aca="false">ФОТ_B_v6!I8</f>
        <v>693625</v>
      </c>
      <c r="J4" s="14" t="n">
        <f aca="false">ФОТ_B_v6!J8</f>
        <v>754110</v>
      </c>
      <c r="K4" s="14" t="n">
        <f aca="false">ФОТ_B_v6!K8</f>
        <v>820042</v>
      </c>
      <c r="L4" s="15" t="n">
        <f aca="false">SUM(B4:K4)</f>
        <v>5280916</v>
      </c>
    </row>
    <row r="5" customFormat="false" ht="15" hidden="false" customHeight="true" outlineLevel="0" collapsed="false">
      <c r="A5" s="7" t="s">
        <v>102</v>
      </c>
      <c r="B5" s="15" t="n">
        <f aca="false">ROUND((B2*1000-B4)/B4*100,0)</f>
        <v>556</v>
      </c>
      <c r="C5" s="15" t="n">
        <f aca="false">ROUND((C2*1000-C4)/C4*100,0)</f>
        <v>782</v>
      </c>
      <c r="D5" s="15" t="n">
        <f aca="false">ROUND((D2*1000-D4)/D4*100,0)</f>
        <v>583</v>
      </c>
      <c r="E5" s="15" t="n">
        <f aca="false">ROUND((E2*1000-E4)/E4*100,0)</f>
        <v>637</v>
      </c>
      <c r="F5" s="15" t="n">
        <f aca="false">ROUND((F2*1000-F4)/F4*100,0)</f>
        <v>678</v>
      </c>
      <c r="G5" s="15" t="n">
        <f aca="false">ROUND((G2*1000-G4)/G4*100,0)</f>
        <v>641</v>
      </c>
      <c r="H5" s="15" t="n">
        <f aca="false">ROUND((H2*1000-H4)/H4*100,0)</f>
        <v>637</v>
      </c>
      <c r="I5" s="15" t="n">
        <f aca="false">ROUND((I2*1000-I4)/I4*100,0)</f>
        <v>621</v>
      </c>
      <c r="J5" s="15" t="n">
        <f aca="false">ROUND((J2*1000-J4)/J4*100,0)</f>
        <v>609</v>
      </c>
      <c r="K5" s="15" t="n">
        <f aca="false">ROUND((K2*1000-K4)/K4*100,0)</f>
        <v>583</v>
      </c>
      <c r="L5" s="9"/>
    </row>
    <row r="6" customFormat="false" ht="15" hidden="false" customHeight="true" outlineLevel="0" collapsed="false">
      <c r="A6" s="7" t="s">
        <v>103</v>
      </c>
      <c r="B6" s="26" t="n">
        <f aca="false">ROUND(B2*1000/B4,1)</f>
        <v>6.6</v>
      </c>
      <c r="C6" s="26" t="n">
        <f aca="false">ROUND(C2*1000/C4,1)</f>
        <v>8.8</v>
      </c>
      <c r="D6" s="26" t="n">
        <f aca="false">ROUND(D2*1000/D4,1)</f>
        <v>6.8</v>
      </c>
      <c r="E6" s="26" t="n">
        <f aca="false">ROUND(E2*1000/E4,1)</f>
        <v>7.4</v>
      </c>
      <c r="F6" s="26" t="n">
        <f aca="false">ROUND(F2*1000/F4,1)</f>
        <v>7.8</v>
      </c>
      <c r="G6" s="26" t="n">
        <f aca="false">ROUND(G2*1000/G4,1)</f>
        <v>7.4</v>
      </c>
      <c r="H6" s="26" t="n">
        <f aca="false">ROUND(H2*1000/H4,1)</f>
        <v>7.4</v>
      </c>
      <c r="I6" s="26" t="n">
        <f aca="false">ROUND(I2*1000/I4,1)</f>
        <v>7.2</v>
      </c>
      <c r="J6" s="26" t="n">
        <f aca="false">ROUND(J2*1000/J4,1)</f>
        <v>7.1</v>
      </c>
      <c r="K6" s="26" t="n">
        <f aca="false">ROUND(K2*1000/K4,1)</f>
        <v>6.8</v>
      </c>
      <c r="L6" s="9"/>
    </row>
    <row r="7" customFormat="false" ht="15" hidden="false" customHeight="true" outlineLevel="0" collapsed="false">
      <c r="A7" s="7" t="s">
        <v>104</v>
      </c>
      <c r="B7" s="26" t="n">
        <f aca="false">ROUND(B2/1000,1)</f>
        <v>1.1</v>
      </c>
      <c r="C7" s="26" t="n">
        <f aca="false">ROUND(B7+C2/1000,1)</f>
        <v>3.2</v>
      </c>
      <c r="D7" s="26" t="n">
        <f aca="false">ROUND(C7+D2/1000,1)</f>
        <v>6.1</v>
      </c>
      <c r="E7" s="26" t="n">
        <f aca="false">ROUND(D7+E2/1000,1)</f>
        <v>9.5</v>
      </c>
      <c r="F7" s="26" t="n">
        <f aca="false">ROUND(E7+F2/1000,1)</f>
        <v>13.4</v>
      </c>
      <c r="G7" s="26" t="n">
        <f aca="false">ROUND(F7+G2/1000,1)</f>
        <v>17.8</v>
      </c>
      <c r="H7" s="26" t="n">
        <f aca="false">ROUND(G7+H2/1000,1)</f>
        <v>22.5</v>
      </c>
      <c r="I7" s="26" t="n">
        <f aca="false">ROUND(H7+I2/1000,1)</f>
        <v>27.5</v>
      </c>
      <c r="J7" s="26" t="n">
        <f aca="false">ROUND(I7+J2/1000,1)</f>
        <v>32.9</v>
      </c>
      <c r="K7" s="26" t="n">
        <f aca="false">ROUND(J7+K2/1000,1)</f>
        <v>38.5</v>
      </c>
      <c r="L7" s="9"/>
    </row>
    <row r="8" customFormat="false" ht="15" hidden="false" customHeight="true" outlineLevel="0" collapsed="false">
      <c r="A8" s="7" t="s">
        <v>105</v>
      </c>
      <c r="B8" s="26" t="n">
        <f aca="false">ROUND(B3/1000,1)</f>
        <v>0.6</v>
      </c>
      <c r="C8" s="26" t="n">
        <f aca="false">ROUND(B8+C3/1000,1)</f>
        <v>1.7</v>
      </c>
      <c r="D8" s="26" t="n">
        <f aca="false">ROUND(C8+D3/1000,1)</f>
        <v>3.3</v>
      </c>
      <c r="E8" s="26" t="n">
        <f aca="false">ROUND(D8+E3/1000,1)</f>
        <v>5.1</v>
      </c>
      <c r="F8" s="26" t="n">
        <f aca="false">ROUND(E8+F3/1000,1)</f>
        <v>7.2</v>
      </c>
      <c r="G8" s="26" t="n">
        <f aca="false">ROUND(F8+G3/1000,1)</f>
        <v>9.5</v>
      </c>
      <c r="H8" s="26" t="n">
        <f aca="false">ROUND(G8+H3/1000,1)</f>
        <v>12</v>
      </c>
      <c r="I8" s="26" t="n">
        <f aca="false">ROUND(H8+I3/1000,1)</f>
        <v>14.7</v>
      </c>
      <c r="J8" s="26" t="n">
        <f aca="false">ROUND(I8+J3/1000,1)</f>
        <v>17.6</v>
      </c>
      <c r="K8" s="26" t="n">
        <f aca="false">ROUND(J8+K3/1000,1)</f>
        <v>20.6</v>
      </c>
      <c r="L8" s="9"/>
    </row>
    <row r="9" customFormat="false" ht="15" hidden="false" customHeight="true" outlineLevel="0" collapsed="false">
      <c r="A9" s="12" t="s">
        <v>106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customFormat="false" ht="15" hidden="false" customHeight="true" outlineLevel="0" collapsed="false">
      <c r="A10" s="7" t="s">
        <v>107</v>
      </c>
      <c r="B10" s="14" t="n">
        <f aca="false">ROUND(B2*Параметры!$B$31,0)</f>
        <v>770</v>
      </c>
      <c r="C10" s="14" t="n">
        <f aca="false">ROUND(C2*Параметры!$B$31,0)</f>
        <v>1435</v>
      </c>
      <c r="D10" s="14" t="n">
        <f aca="false">ROUND(D2*Параметры!$B$31,0)</f>
        <v>2030</v>
      </c>
      <c r="E10" s="14" t="n">
        <f aca="false">ROUND(E2*Параметры!$B$31,0)</f>
        <v>2380</v>
      </c>
      <c r="F10" s="14" t="n">
        <f aca="false">ROUND(F2*Параметры!$B$31,0)</f>
        <v>2730</v>
      </c>
      <c r="G10" s="14" t="n">
        <f aca="false">ROUND(G2*Параметры!$B$31,0)</f>
        <v>3045</v>
      </c>
      <c r="H10" s="14" t="n">
        <f aca="false">ROUND(H2*Параметры!$B$31,0)</f>
        <v>3290</v>
      </c>
      <c r="I10" s="14" t="n">
        <f aca="false">ROUND(I2*Параметры!$B$31,0)</f>
        <v>3500</v>
      </c>
      <c r="J10" s="14" t="n">
        <f aca="false">ROUND(J2*Параметры!$B$31,0)</f>
        <v>3745</v>
      </c>
      <c r="K10" s="14" t="n">
        <f aca="false">ROUND(K2*Параметры!$B$31,0)</f>
        <v>3920</v>
      </c>
      <c r="L10" s="15" t="n">
        <f aca="false">SUM(B10:K10)</f>
        <v>26845</v>
      </c>
    </row>
    <row r="11" customFormat="false" ht="15" hidden="false" customHeight="true" outlineLevel="0" collapsed="false">
      <c r="A11" s="7" t="s">
        <v>108</v>
      </c>
      <c r="B11" s="14" t="n">
        <f aca="false">ROUND(B2*Параметры!$B$32,0)</f>
        <v>1507</v>
      </c>
      <c r="C11" s="14" t="n">
        <f aca="false">ROUND(C2*Параметры!$B$32,0)</f>
        <v>2809</v>
      </c>
      <c r="D11" s="14" t="n">
        <f aca="false">ROUND(D2*Параметры!$B$32,0)</f>
        <v>3973</v>
      </c>
      <c r="E11" s="14" t="n">
        <f aca="false">ROUND(E2*Параметры!$B$32,0)</f>
        <v>4658</v>
      </c>
      <c r="F11" s="14" t="n">
        <f aca="false">ROUND(F2*Параметры!$B$32,0)</f>
        <v>5343</v>
      </c>
      <c r="G11" s="14" t="n">
        <f aca="false">ROUND(G2*Параметры!$B$32,0)</f>
        <v>5960</v>
      </c>
      <c r="H11" s="14" t="n">
        <f aca="false">ROUND(H2*Параметры!$B$32,0)</f>
        <v>6439</v>
      </c>
      <c r="I11" s="14" t="n">
        <f aca="false">ROUND(I2*Параметры!$B$32,0)</f>
        <v>6850</v>
      </c>
      <c r="J11" s="14" t="n">
        <f aca="false">ROUND(J2*Параметры!$B$32,0)</f>
        <v>7330</v>
      </c>
      <c r="K11" s="14" t="n">
        <f aca="false">ROUND(K2*Параметры!$B$32,0)</f>
        <v>7672</v>
      </c>
      <c r="L11" s="15" t="n">
        <f aca="false">SUM(B11:K11)</f>
        <v>52541</v>
      </c>
    </row>
    <row r="12" customFormat="false" ht="15" hidden="false" customHeight="true" outlineLevel="0" collapsed="false">
      <c r="A12" s="7" t="s">
        <v>109</v>
      </c>
      <c r="B12" s="14" t="n">
        <f aca="false">ROUND(B2*Параметры!$B$33,0)</f>
        <v>935</v>
      </c>
      <c r="C12" s="14" t="n">
        <f aca="false">ROUND(C2*Параметры!$B$33,0)</f>
        <v>1743</v>
      </c>
      <c r="D12" s="14" t="n">
        <f aca="false">ROUND(D2*Параметры!$B$33,0)</f>
        <v>2465</v>
      </c>
      <c r="E12" s="14" t="n">
        <f aca="false">ROUND(E2*Параметры!$B$33,0)</f>
        <v>2890</v>
      </c>
      <c r="F12" s="14" t="n">
        <f aca="false">ROUND(F2*Параметры!$B$33,0)</f>
        <v>3315</v>
      </c>
      <c r="G12" s="14" t="n">
        <f aca="false">ROUND(G2*Параметры!$B$33,0)</f>
        <v>3698</v>
      </c>
      <c r="H12" s="14" t="n">
        <f aca="false">ROUND(H2*Параметры!$B$33,0)</f>
        <v>3995</v>
      </c>
      <c r="I12" s="14" t="n">
        <f aca="false">ROUND(I2*Параметры!$B$33,0)</f>
        <v>4250</v>
      </c>
      <c r="J12" s="14" t="n">
        <f aca="false">ROUND(J2*Параметры!$B$33,0)</f>
        <v>4548</v>
      </c>
      <c r="K12" s="14" t="n">
        <f aca="false">ROUND(K2*Параметры!$B$33,0)</f>
        <v>4760</v>
      </c>
      <c r="L12" s="15" t="n">
        <f aca="false">SUM(B12:K12)</f>
        <v>32599</v>
      </c>
    </row>
    <row r="13" customFormat="false" ht="15" hidden="false" customHeight="true" outlineLevel="0" collapsed="false">
      <c r="A13" s="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true" outlineLevel="0" collapsed="false">
      <c r="A14" s="12" t="s">
        <v>110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" hidden="false" customHeight="true" outlineLevel="0" collapsed="false">
      <c r="A15" s="7" t="s">
        <v>111</v>
      </c>
      <c r="B15" s="27" t="n">
        <f aca="false">ROUND(((B3*1000-B4)/(1+Параметры!$B$39)^1+(C3*1000-C4)/(1+Параметры!$B$39)^2+(D3*1000-D4)/(1+Параметры!$B$39)^3+(E3*1000-E4)/(1+Параметры!$B$39)^4+(F3*1000-F4)/(1+Параметры!$B$39)^5+(G3*1000-G4)/(1+Параметры!$B$39)^6+(H3*1000-H4)/(1+Параметры!$B$39)^7+(I3*1000-I4)/(1+Параметры!$B$39)^8+(J3*1000-J4)/(1+Параметры!$B$39)^9+(K3*1000-K4)/(1+Параметры!$B$39)^10)/1000000,2)</f>
        <v>9.46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false" customHeight="true" outlineLevel="0" collapsed="false">
      <c r="A16" s="7" t="s">
        <v>112</v>
      </c>
      <c r="B16" s="28" t="n">
        <f aca="false">ROUND(((B3*1000-B4)/(1+Параметры!$B$40)^1+(C3*1000-C4)/(1+Параметры!$B$40)^2+(D3*1000-D4)/(1+Параметры!$B$40)^3+(E3*1000-E4)/(1+Параметры!$B$40)^4+(F3*1000-F4)/(1+Параметры!$B$40)^5+(G3*1000-G4)/(1+Параметры!$B$40)^6+(H3*1000-H4)/(1+Параметры!$B$40)^7+(I3*1000-I4)/(1+Параметры!$B$40)^8+(J3*1000-J4)/(1+Параметры!$B$40)^9+(K3*1000-K4)/(1+Параметры!$B$40)^10)/1000000,2)</f>
        <v>7.65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5" hidden="false" customHeight="true" outlineLevel="0" collapsed="false">
      <c r="A17" s="7" t="s">
        <v>113</v>
      </c>
      <c r="B17" s="27" t="n">
        <f aca="false">ROUND(((B3*1000-B4)/(1+Параметры!$B$41)^1+(C3*1000-C4)/(1+Параметры!$B$41)^2+(D3*1000-D4)/(1+Параметры!$B$41)^3+(E3*1000-E4)/(1+Параметры!$B$41)^4+(F3*1000-F4)/(1+Параметры!$B$41)^5+(G3*1000-G4)/(1+Параметры!$B$41)^6+(H3*1000-H4)/(1+Параметры!$B$41)^7+(I3*1000-I4)/(1+Параметры!$B$41)^8+(J3*1000-J4)/(1+Параметры!$B$41)^9+(K3*1000-K4)/(1+Параметры!$B$41)^10)/1000000,2)</f>
        <v>6.6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7" t="s">
        <v>114</v>
      </c>
      <c r="B18" s="27" t="n">
        <f aca="false">ROUND(((B3*1000-B4)/(1+Параметры!$B$42)^1+(C3*1000-C4)/(1+Параметры!$B$42)^2+(D3*1000-D4)/(1+Параметры!$B$42)^3+(E3*1000-E4)/(1+Параметры!$B$42)^4+(F3*1000-F4)/(1+Параметры!$B$42)^5+(G3*1000-G4)/(1+Параметры!$B$42)^6+(H3*1000-H4)/(1+Параметры!$B$42)^7+(I3*1000-I4)/(1+Параметры!$B$42)^8+(J3*1000-J4)/(1+Параметры!$B$42)^9+(K3*1000-K4)/(1+Параметры!$B$42)^10)/1000000,2)</f>
        <v>5.03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true" outlineLevel="0" collapsed="false">
      <c r="A19" s="7" t="s">
        <v>115</v>
      </c>
      <c r="B19" s="27" t="n">
        <f aca="false">ROUND(((B2*1000-B4)/(1+Параметры!$B$40)^1+(C2*1000-C4)/(1+Параметры!$B$40)^2+(D2*1000-D4)/(1+Параметры!$B$40)^3+(E2*1000-E4)/(1+Параметры!$B$40)^4+(F2*1000-F4)/(1+Параметры!$B$40)^5+(G2*1000-G4)/(1+Параметры!$B$40)^6+(H2*1000-H4)/(1+Параметры!$B$40)^7+(I2*1000-I4)/(1+Параметры!$B$40)^8+(J2*1000-J4)/(1+Параметры!$B$40)^9+(K2*1000-K4)/(1+Параметры!$B$40)^10)/1000000,2)</f>
        <v>16.52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5" hidden="false" customHeight="true" outlineLevel="0" collapsed="false">
      <c r="A21" s="12" t="s">
        <v>116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true" outlineLevel="0" collapsed="false">
      <c r="A22" s="7" t="s">
        <v>117</v>
      </c>
      <c r="B22" s="14" t="n">
        <f aca="false">Параметры!$B$36</f>
        <v>500</v>
      </c>
      <c r="C22" s="14" t="n">
        <f aca="false">Параметры!$B$36</f>
        <v>500</v>
      </c>
      <c r="D22" s="14" t="n">
        <f aca="false">Параметры!$B$36</f>
        <v>500</v>
      </c>
      <c r="E22" s="14" t="n">
        <f aca="false">Параметры!$B$36</f>
        <v>500</v>
      </c>
      <c r="F22" s="14" t="n">
        <f aca="false">Параметры!$B$36</f>
        <v>500</v>
      </c>
      <c r="G22" s="14" t="n">
        <f aca="false">Параметры!$B$36</f>
        <v>500</v>
      </c>
      <c r="H22" s="14" t="n">
        <f aca="false">Параметры!$B$36</f>
        <v>500</v>
      </c>
      <c r="I22" s="14" t="n">
        <f aca="false">Параметры!$B$36</f>
        <v>500</v>
      </c>
      <c r="J22" s="14" t="n">
        <f aca="false">Параметры!$B$36</f>
        <v>500</v>
      </c>
      <c r="K22" s="14" t="n">
        <f aca="false">Параметры!$B$36</f>
        <v>500</v>
      </c>
      <c r="L22" s="9"/>
    </row>
    <row r="23" customFormat="false" ht="15" hidden="false" customHeight="true" outlineLevel="0" collapsed="false">
      <c r="A23" s="7" t="s">
        <v>118</v>
      </c>
      <c r="B23" s="15" t="n">
        <f aca="false">B2-B22</f>
        <v>600</v>
      </c>
      <c r="C23" s="15" t="n">
        <f aca="false">C2-C22</f>
        <v>1550</v>
      </c>
      <c r="D23" s="15" t="n">
        <f aca="false">D2-D22</f>
        <v>2400</v>
      </c>
      <c r="E23" s="15" t="n">
        <f aca="false">E2-E22</f>
        <v>2900</v>
      </c>
      <c r="F23" s="15" t="n">
        <f aca="false">F2-F22</f>
        <v>3400</v>
      </c>
      <c r="G23" s="15" t="n">
        <f aca="false">G2-G22</f>
        <v>3850</v>
      </c>
      <c r="H23" s="15" t="n">
        <f aca="false">H2-H22</f>
        <v>4200</v>
      </c>
      <c r="I23" s="15" t="n">
        <f aca="false">I2-I22</f>
        <v>4500</v>
      </c>
      <c r="J23" s="15" t="n">
        <f aca="false">J2-J22</f>
        <v>4850</v>
      </c>
      <c r="K23" s="15" t="n">
        <f aca="false">K2-K22</f>
        <v>5100</v>
      </c>
      <c r="L23" s="15" t="n">
        <f aca="false">SUM(B23:K23)</f>
        <v>33350</v>
      </c>
    </row>
    <row r="24" customFormat="false" ht="15" hidden="false" customHeight="true" outlineLevel="0" collapsed="false">
      <c r="A24" s="7" t="s">
        <v>119</v>
      </c>
      <c r="B24" s="26" t="n">
        <f aca="false">IF(B23=0,0,ROUND(B23*1000/B4,1))</f>
        <v>3.6</v>
      </c>
      <c r="C24" s="26" t="n">
        <f aca="false">IF(C23=0,0,ROUND(C23*1000/C4,1))</f>
        <v>6.7</v>
      </c>
      <c r="D24" s="26" t="n">
        <f aca="false">IF(D23=0,0,ROUND(D23*1000/D4,1))</f>
        <v>5.6</v>
      </c>
      <c r="E24" s="26" t="n">
        <f aca="false">IF(E23=0,0,ROUND(E23*1000/E4,1))</f>
        <v>6.3</v>
      </c>
      <c r="F24" s="26" t="n">
        <f aca="false">IF(F23=0,0,ROUND(F23*1000/F4,1))</f>
        <v>6.8</v>
      </c>
      <c r="G24" s="26" t="n">
        <f aca="false">IF(G23=0,0,ROUND(G23*1000/G4,1))</f>
        <v>6.6</v>
      </c>
      <c r="H24" s="26" t="n">
        <f aca="false">IF(H23=0,0,ROUND(H23*1000/H4,1))</f>
        <v>6.6</v>
      </c>
      <c r="I24" s="26" t="n">
        <f aca="false">IF(I23=0,0,ROUND(I23*1000/I4,1))</f>
        <v>6.5</v>
      </c>
      <c r="J24" s="26" t="n">
        <f aca="false">IF(J23=0,0,ROUND(J23*1000/J4,1))</f>
        <v>6.4</v>
      </c>
      <c r="K24" s="26" t="n">
        <f aca="false">IF(K23=0,0,ROUND(K23*1000/K4,1))</f>
        <v>6.2</v>
      </c>
      <c r="L24" s="9"/>
    </row>
    <row r="25" customFormat="false" ht="15" hidden="false" customHeight="true" outlineLevel="0" collapsed="false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true" outlineLevel="0" collapsed="false">
      <c r="A26" s="12" t="s">
        <v>120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true" outlineLevel="0" collapsed="false">
      <c r="A27" s="7" t="s">
        <v>121</v>
      </c>
      <c r="B27" s="15" t="n">
        <f aca="false">ROUND((L2*1000-L4)/L4*100,0)</f>
        <v>626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true" outlineLevel="0" collapsed="false">
      <c r="A28" s="7" t="s">
        <v>122</v>
      </c>
      <c r="B28" s="26" t="n">
        <f aca="false">ROUND(L2*1000/L4,1)</f>
        <v>7.3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5" hidden="false" customHeight="true" outlineLevel="0" collapsed="false">
      <c r="A29" s="7" t="s">
        <v>123</v>
      </c>
      <c r="B29" s="15" t="n">
        <f aca="false">ROUND((L3*1000-L4)/L4*100,0)</f>
        <v>289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" hidden="false" customHeight="true" outlineLevel="0" collapsed="false">
      <c r="A30" s="7" t="s">
        <v>124</v>
      </c>
      <c r="B30" s="26" t="n">
        <f aca="false">ROUND(L3*1000/L4,1)</f>
        <v>3.9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2" customFormat="false" ht="15" hidden="false" customHeight="true" outlineLevel="0" collapsed="false">
      <c r="A32" s="29" t="s">
        <v>125</v>
      </c>
    </row>
    <row r="33" customFormat="false" ht="15" hidden="false" customHeight="true" outlineLevel="0" collapsed="false">
      <c r="A33" s="30" t="s">
        <v>126</v>
      </c>
      <c r="B33" s="31" t="n">
        <v>5532916</v>
      </c>
    </row>
    <row r="34" customFormat="false" ht="15" hidden="false" customHeight="true" outlineLevel="0" collapsed="false">
      <c r="A34" s="30" t="s">
        <v>127</v>
      </c>
      <c r="B34" s="30" t="n">
        <v>593</v>
      </c>
    </row>
    <row r="35" customFormat="false" ht="15" hidden="false" customHeight="true" outlineLevel="0" collapsed="false">
      <c r="A35" s="30" t="s">
        <v>128</v>
      </c>
      <c r="B35" s="30" t="n">
        <v>6.9</v>
      </c>
    </row>
    <row r="36" customFormat="false" ht="15" hidden="false" customHeight="true" outlineLevel="0" collapsed="false">
      <c r="A36" s="30" t="s">
        <v>129</v>
      </c>
      <c r="B36" s="30" t="n">
        <v>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20"/>
  </cols>
  <sheetData>
    <row r="1" customFormat="false" ht="15" hidden="false" customHeight="true" outlineLevel="0" collapsed="false">
      <c r="A1" s="2" t="s">
        <v>130</v>
      </c>
    </row>
    <row r="3" customFormat="false" ht="15" hidden="false" customHeight="true" outlineLevel="0" collapsed="false">
      <c r="A3" s="6" t="s">
        <v>131</v>
      </c>
      <c r="B3" s="6" t="s">
        <v>132</v>
      </c>
      <c r="C3" s="6" t="s">
        <v>133</v>
      </c>
      <c r="D3" s="6" t="s">
        <v>134</v>
      </c>
    </row>
    <row r="4" customFormat="false" ht="15" hidden="false" customHeight="true" outlineLevel="0" collapsed="false">
      <c r="A4" s="32" t="s">
        <v>135</v>
      </c>
      <c r="B4" s="32" t="s">
        <v>136</v>
      </c>
      <c r="C4" s="32" t="s">
        <v>137</v>
      </c>
      <c r="D4" s="32" t="s">
        <v>138</v>
      </c>
    </row>
    <row r="5" customFormat="false" ht="15" hidden="false" customHeight="true" outlineLevel="0" collapsed="false">
      <c r="A5" s="32" t="s">
        <v>139</v>
      </c>
      <c r="B5" s="33" t="n">
        <f aca="false">ROUND(TCV_Детализация!L18/1000,1)</f>
        <v>20.6</v>
      </c>
      <c r="C5" s="33" t="n">
        <f aca="false">ROUND(TCV_Детализация!L25/1000,1)</f>
        <v>25.1</v>
      </c>
      <c r="D5" s="33" t="n">
        <f aca="false">C5-B5</f>
        <v>4.5</v>
      </c>
    </row>
    <row r="6" customFormat="false" ht="15" hidden="false" customHeight="true" outlineLevel="0" collapsed="false">
      <c r="A6" s="32" t="s">
        <v>140</v>
      </c>
      <c r="B6" s="34" t="n">
        <f aca="false">TCV_Детализация!B18</f>
        <v>598</v>
      </c>
      <c r="C6" s="34" t="n">
        <f aca="false">TCV_Детализация!B25</f>
        <v>731</v>
      </c>
      <c r="D6" s="32" t="n">
        <f aca="false">C6-B6</f>
        <v>133</v>
      </c>
    </row>
    <row r="7" customFormat="false" ht="15" hidden="false" customHeight="true" outlineLevel="0" collapsed="false">
      <c r="A7" s="32" t="s">
        <v>141</v>
      </c>
      <c r="B7" s="35" t="n">
        <f aca="false">TCV_Детализация!B19</f>
        <v>0.543636363636364</v>
      </c>
      <c r="C7" s="35" t="n">
        <f aca="false">TCV_Детализация!B26</f>
        <v>0.664545454545455</v>
      </c>
      <c r="D7" s="36" t="n">
        <f aca="false">C7-B7</f>
        <v>0.120909090909091</v>
      </c>
    </row>
    <row r="8" customFormat="false" ht="15" hidden="false" customHeight="true" outlineLevel="0" collapsed="false">
      <c r="A8" s="32" t="s">
        <v>112</v>
      </c>
      <c r="B8" s="33" t="n">
        <f aca="false">ROUND(((TCV_Детализация!B18*1000-ФОТ_B_v6!B8)/(1+Параметры!$B$40)^1+(TCV_Детализация!C18*1000-ФОТ_B_v6!C8)/(1+Параметры!$B$40)^2+(TCV_Детализация!D18*1000-ФОТ_B_v6!D8)/(1+Параметры!$B$40)^3+(TCV_Детализация!E18*1000-ФОТ_B_v6!E8)/(1+Параметры!$B$40)^4+(TCV_Детализация!F18*1000-ФОТ_B_v6!F8)/(1+Параметры!$B$40)^5+(TCV_Детализация!G18*1000-ФОТ_B_v6!G8)/(1+Параметры!$B$40)^6+(TCV_Детализация!H18*1000-ФОТ_B_v6!H8)/(1+Параметры!$B$40)^7+(TCV_Детализация!I18*1000-ФОТ_B_v6!I8)/(1+Параметры!$B$40)^8+(TCV_Детализация!J18*1000-ФОТ_B_v6!J8)/(1+Параметры!$B$40)^9+(TCV_Детализация!K18*1000-ФОТ_B_v6!K8)/(1+Параметры!$B$40)^10)/1000000,2)</f>
        <v>7.65</v>
      </c>
      <c r="C8" s="33" t="n">
        <f aca="false">ROUND(((TCV_Детализация!B25*1000-ФОТ_B_v6!B8)/(1+Параметры!$B$40)^1+(TCV_Детализация!C25*1000-ФОТ_B_v6!C8)/(1+Параметры!$B$40)^2+(TCV_Детализация!D25*1000-ФОТ_B_v6!D8)/(1+Параметры!$B$40)^3+(TCV_Детализация!E25*1000-ФОТ_B_v6!E8)/(1+Параметры!$B$40)^4+(TCV_Детализация!F25*1000-ФОТ_B_v6!F8)/(1+Параметры!$B$40)^5+(TCV_Детализация!G25*1000-ФОТ_B_v6!G8)/(1+Параметры!$B$40)^6+(TCV_Детализация!H25*1000-ФОТ_B_v6!H8)/(1+Параметры!$B$40)^7+(TCV_Детализация!I25*1000-ФОТ_B_v6!I8)/(1+Параметры!$B$40)^8+(TCV_Детализация!J25*1000-ФОТ_B_v6!J8)/(1+Параметры!$B$40)^9+(TCV_Детализация!K25*1000-ФОТ_B_v6!K8)/(1+Параметры!$B$40)^10)/1000000,2)</f>
        <v>9.9</v>
      </c>
      <c r="D8" s="33" t="n">
        <f aca="false">C8-B8</f>
        <v>2.25</v>
      </c>
    </row>
    <row r="9" customFormat="false" ht="15" hidden="false" customHeight="true" outlineLevel="0" collapsed="false">
      <c r="A9" s="32" t="s">
        <v>142</v>
      </c>
      <c r="B9" s="34" t="n">
        <f aca="false">ROUND((TCV_Детализация!L18*1000-ФОТ_B_v6!L8)/ФОТ_B_v6!L8*100,0)</f>
        <v>289</v>
      </c>
      <c r="C9" s="34" t="n">
        <f aca="false">ROUND((TCV_Детализация!L25*1000-ФОТ_B_v6!L8)/ФОТ_B_v6!L8*100,0)</f>
        <v>375</v>
      </c>
      <c r="D9" s="34" t="n">
        <f aca="false">C9-B9</f>
        <v>86</v>
      </c>
    </row>
    <row r="10" customFormat="false" ht="15" hidden="false" customHeight="true" outlineLevel="0" collapsed="false">
      <c r="A10" s="32" t="s">
        <v>143</v>
      </c>
      <c r="B10" s="32" t="n">
        <f aca="false">ROUND(TCV_Детализация!L18*1000/ФОТ_B_v6!L8,1)</f>
        <v>3.9</v>
      </c>
      <c r="C10" s="32" t="n">
        <f aca="false">ROUND(TCV_Детализация!L25*1000/ФОТ_B_v6!L8,1)</f>
        <v>4.7</v>
      </c>
      <c r="D10" s="32" t="n">
        <f aca="false">C10-B10</f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4"/>
  </cols>
  <sheetData>
    <row r="1" customFormat="false" ht="15" hidden="false" customHeight="true" outlineLevel="0" collapsed="false">
      <c r="A1" s="37" t="s">
        <v>144</v>
      </c>
      <c r="B1" s="37" t="s">
        <v>145</v>
      </c>
      <c r="C1" s="37" t="s">
        <v>49</v>
      </c>
      <c r="D1" s="37" t="s">
        <v>50</v>
      </c>
      <c r="E1" s="37" t="s">
        <v>51</v>
      </c>
      <c r="F1" s="37" t="s">
        <v>53</v>
      </c>
      <c r="G1" s="37" t="s">
        <v>58</v>
      </c>
    </row>
    <row r="2" customFormat="false" ht="15" hidden="false" customHeight="true" outlineLevel="0" collapsed="false">
      <c r="A2" s="38" t="s">
        <v>146</v>
      </c>
      <c r="B2" s="39" t="s">
        <v>147</v>
      </c>
      <c r="C2" s="39" t="s">
        <v>148</v>
      </c>
      <c r="D2" s="39" t="s">
        <v>149</v>
      </c>
      <c r="E2" s="39" t="s">
        <v>150</v>
      </c>
      <c r="F2" s="39" t="s">
        <v>151</v>
      </c>
      <c r="G2" s="39" t="s">
        <v>152</v>
      </c>
    </row>
    <row r="3" customFormat="false" ht="15" hidden="false" customHeight="true" outlineLevel="0" collapsed="false">
      <c r="A3" s="40" t="s">
        <v>153</v>
      </c>
      <c r="B3" s="41" t="s">
        <v>154</v>
      </c>
      <c r="C3" s="41" t="s">
        <v>155</v>
      </c>
      <c r="D3" s="41" t="s">
        <v>156</v>
      </c>
      <c r="E3" s="41" t="s">
        <v>157</v>
      </c>
      <c r="F3" s="41" t="s">
        <v>158</v>
      </c>
      <c r="G3" s="41" t="s">
        <v>159</v>
      </c>
    </row>
    <row r="4" customFormat="false" ht="15" hidden="false" customHeight="true" outlineLevel="0" collapsed="false">
      <c r="A4" s="40" t="s">
        <v>160</v>
      </c>
      <c r="B4" s="41" t="s">
        <v>154</v>
      </c>
      <c r="C4" s="41" t="s">
        <v>161</v>
      </c>
      <c r="D4" s="41" t="s">
        <v>162</v>
      </c>
      <c r="E4" s="41" t="s">
        <v>163</v>
      </c>
      <c r="F4" s="41" t="s">
        <v>164</v>
      </c>
      <c r="G4" s="41" t="s">
        <v>165</v>
      </c>
    </row>
    <row r="5" customFormat="false" ht="15" hidden="false" customHeight="true" outlineLevel="0" collapsed="false">
      <c r="A5" s="40" t="s">
        <v>166</v>
      </c>
      <c r="B5" s="41" t="s">
        <v>154</v>
      </c>
      <c r="C5" s="41" t="s">
        <v>167</v>
      </c>
      <c r="D5" s="41" t="s">
        <v>168</v>
      </c>
      <c r="E5" s="41" t="s">
        <v>169</v>
      </c>
      <c r="F5" s="41" t="s">
        <v>149</v>
      </c>
      <c r="G5" s="41" t="s">
        <v>150</v>
      </c>
    </row>
    <row r="6" customFormat="false" ht="15" hidden="false" customHeight="true" outlineLevel="0" collapsed="false">
      <c r="A6" s="40" t="s">
        <v>170</v>
      </c>
      <c r="B6" s="41" t="s">
        <v>171</v>
      </c>
      <c r="C6" s="41" t="s">
        <v>172</v>
      </c>
      <c r="D6" s="41" t="s">
        <v>173</v>
      </c>
      <c r="E6" s="41" t="s">
        <v>174</v>
      </c>
      <c r="F6" s="41" t="s">
        <v>175</v>
      </c>
      <c r="G6" s="41" t="s">
        <v>176</v>
      </c>
    </row>
    <row r="7" customFormat="false" ht="15" hidden="false" customHeight="true" outlineLevel="0" collapsed="false">
      <c r="A7" s="40" t="s">
        <v>177</v>
      </c>
      <c r="B7" s="41" t="s">
        <v>178</v>
      </c>
      <c r="C7" s="41" t="s">
        <v>138</v>
      </c>
      <c r="D7" s="41" t="s">
        <v>179</v>
      </c>
      <c r="E7" s="41" t="s">
        <v>180</v>
      </c>
      <c r="F7" s="41" t="s">
        <v>181</v>
      </c>
      <c r="G7" s="41" t="s">
        <v>182</v>
      </c>
    </row>
    <row r="8" customFormat="false" ht="15" hidden="false" customHeight="true" outlineLevel="0" collapsed="false">
      <c r="A8" s="40" t="s">
        <v>183</v>
      </c>
      <c r="B8" s="41" t="s">
        <v>171</v>
      </c>
      <c r="C8" s="41" t="s">
        <v>184</v>
      </c>
      <c r="D8" s="41" t="s">
        <v>185</v>
      </c>
      <c r="E8" s="41" t="s">
        <v>186</v>
      </c>
      <c r="F8" s="41" t="s">
        <v>157</v>
      </c>
      <c r="G8" s="41" t="s">
        <v>187</v>
      </c>
    </row>
    <row r="9" customFormat="false" ht="15" hidden="false" customHeight="true" outlineLevel="0" collapsed="false">
      <c r="A9" s="40" t="s">
        <v>188</v>
      </c>
      <c r="B9" s="41" t="s">
        <v>171</v>
      </c>
      <c r="C9" s="41" t="s">
        <v>180</v>
      </c>
      <c r="D9" s="41" t="s">
        <v>181</v>
      </c>
      <c r="E9" s="41" t="s">
        <v>182</v>
      </c>
      <c r="F9" s="41" t="s">
        <v>189</v>
      </c>
      <c r="G9" s="41" t="s">
        <v>190</v>
      </c>
    </row>
    <row r="10" customFormat="false" ht="15" hidden="false" customHeight="true" outlineLevel="0" collapsed="false">
      <c r="A10" s="40" t="s">
        <v>191</v>
      </c>
      <c r="B10" s="41" t="s">
        <v>192</v>
      </c>
      <c r="C10" s="41" t="s">
        <v>193</v>
      </c>
      <c r="D10" s="41" t="s">
        <v>194</v>
      </c>
      <c r="E10" s="41" t="s">
        <v>155</v>
      </c>
      <c r="F10" s="41" t="s">
        <v>195</v>
      </c>
      <c r="G10" s="41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9" min="5" style="1" width="14"/>
  </cols>
  <sheetData>
    <row r="1" customFormat="false" ht="23.25" hidden="false" customHeight="true" outlineLevel="0" collapsed="false">
      <c r="A1" s="37" t="s">
        <v>196</v>
      </c>
      <c r="B1" s="37" t="s">
        <v>197</v>
      </c>
      <c r="C1" s="37" t="s">
        <v>198</v>
      </c>
      <c r="D1" s="37" t="s">
        <v>199</v>
      </c>
      <c r="E1" s="37" t="s">
        <v>200</v>
      </c>
      <c r="F1" s="37" t="s">
        <v>201</v>
      </c>
      <c r="G1" s="37" t="s">
        <v>202</v>
      </c>
      <c r="H1" s="37" t="s">
        <v>203</v>
      </c>
      <c r="I1" s="37" t="s">
        <v>204</v>
      </c>
    </row>
    <row r="2" customFormat="false" ht="15" hidden="false" customHeight="true" outlineLevel="0" collapsed="false">
      <c r="A2" s="38" t="s">
        <v>205</v>
      </c>
      <c r="B2" s="39" t="s">
        <v>206</v>
      </c>
      <c r="C2" s="39" t="s">
        <v>207</v>
      </c>
      <c r="D2" s="39" t="s">
        <v>208</v>
      </c>
      <c r="E2" s="39" t="s">
        <v>148</v>
      </c>
      <c r="F2" s="39" t="s">
        <v>149</v>
      </c>
      <c r="G2" s="39" t="s">
        <v>150</v>
      </c>
      <c r="H2" s="39" t="s">
        <v>151</v>
      </c>
      <c r="I2" s="39" t="s">
        <v>209</v>
      </c>
    </row>
    <row r="3" customFormat="false" ht="15" hidden="false" customHeight="true" outlineLevel="0" collapsed="false">
      <c r="A3" s="38" t="s">
        <v>210</v>
      </c>
      <c r="B3" s="39" t="s">
        <v>211</v>
      </c>
      <c r="C3" s="39" t="s">
        <v>212</v>
      </c>
      <c r="D3" s="39" t="s">
        <v>213</v>
      </c>
      <c r="E3" s="39" t="s">
        <v>214</v>
      </c>
      <c r="F3" s="39" t="s">
        <v>215</v>
      </c>
      <c r="G3" s="39" t="s">
        <v>216</v>
      </c>
      <c r="H3" s="39" t="s">
        <v>217</v>
      </c>
      <c r="I3" s="39" t="s">
        <v>209</v>
      </c>
    </row>
    <row r="4" customFormat="false" ht="15" hidden="false" customHeight="true" outlineLevel="0" collapsed="false">
      <c r="A4" s="38" t="s">
        <v>218</v>
      </c>
      <c r="B4" s="39" t="s">
        <v>211</v>
      </c>
      <c r="C4" s="39" t="s">
        <v>219</v>
      </c>
      <c r="D4" s="39" t="s">
        <v>220</v>
      </c>
      <c r="E4" s="39" t="s">
        <v>221</v>
      </c>
      <c r="F4" s="39" t="s">
        <v>222</v>
      </c>
      <c r="G4" s="39" t="s">
        <v>223</v>
      </c>
      <c r="H4" s="39" t="s">
        <v>224</v>
      </c>
      <c r="I4" s="39" t="s">
        <v>209</v>
      </c>
    </row>
    <row r="5" customFormat="false" ht="15" hidden="false" customHeight="true" outlineLevel="0" collapsed="false">
      <c r="A5" s="40" t="s">
        <v>225</v>
      </c>
      <c r="B5" s="41" t="s">
        <v>226</v>
      </c>
      <c r="C5" s="41" t="s">
        <v>227</v>
      </c>
      <c r="D5" s="41" t="s">
        <v>228</v>
      </c>
      <c r="E5" s="41" t="s">
        <v>167</v>
      </c>
      <c r="F5" s="41" t="s">
        <v>168</v>
      </c>
      <c r="G5" s="41" t="s">
        <v>169</v>
      </c>
      <c r="H5" s="41" t="s">
        <v>149</v>
      </c>
      <c r="I5" s="41" t="s">
        <v>229</v>
      </c>
    </row>
    <row r="6" customFormat="false" ht="15" hidden="false" customHeight="true" outlineLevel="0" collapsed="false">
      <c r="A6" s="40" t="s">
        <v>230</v>
      </c>
      <c r="B6" s="41" t="s">
        <v>231</v>
      </c>
      <c r="C6" s="41" t="s">
        <v>232</v>
      </c>
      <c r="D6" s="41" t="s">
        <v>233</v>
      </c>
      <c r="E6" s="41" t="s">
        <v>234</v>
      </c>
      <c r="F6" s="41" t="s">
        <v>235</v>
      </c>
      <c r="G6" s="41" t="s">
        <v>221</v>
      </c>
      <c r="H6" s="41" t="s">
        <v>168</v>
      </c>
      <c r="I6" s="41" t="s">
        <v>229</v>
      </c>
    </row>
    <row r="7" customFormat="false" ht="15" hidden="false" customHeight="true" outlineLevel="0" collapsed="false">
      <c r="A7" s="40" t="s">
        <v>236</v>
      </c>
      <c r="B7" s="41" t="s">
        <v>237</v>
      </c>
      <c r="C7" s="41" t="s">
        <v>238</v>
      </c>
      <c r="D7" s="41" t="s">
        <v>239</v>
      </c>
      <c r="E7" s="41" t="s">
        <v>240</v>
      </c>
      <c r="F7" s="41" t="s">
        <v>241</v>
      </c>
      <c r="G7" s="41" t="s">
        <v>242</v>
      </c>
      <c r="H7" s="41" t="s">
        <v>243</v>
      </c>
      <c r="I7" s="41" t="s">
        <v>229</v>
      </c>
    </row>
    <row r="8" customFormat="false" ht="15" hidden="false" customHeight="true" outlineLevel="0" collapsed="false">
      <c r="A8" s="40" t="s">
        <v>244</v>
      </c>
      <c r="B8" s="41" t="s">
        <v>226</v>
      </c>
      <c r="C8" s="41" t="s">
        <v>227</v>
      </c>
      <c r="D8" s="41" t="s">
        <v>245</v>
      </c>
      <c r="E8" s="41" t="s">
        <v>246</v>
      </c>
      <c r="F8" s="41" t="s">
        <v>222</v>
      </c>
      <c r="G8" s="41" t="s">
        <v>223</v>
      </c>
      <c r="H8" s="41" t="s">
        <v>247</v>
      </c>
      <c r="I8" s="41" t="s">
        <v>248</v>
      </c>
    </row>
    <row r="9" customFormat="false" ht="15" hidden="false" customHeight="true" outlineLevel="0" collapsed="false">
      <c r="A9" s="40" t="s">
        <v>249</v>
      </c>
      <c r="B9" s="41" t="s">
        <v>231</v>
      </c>
      <c r="C9" s="41" t="s">
        <v>250</v>
      </c>
      <c r="D9" s="41" t="s">
        <v>251</v>
      </c>
      <c r="E9" s="41" t="s">
        <v>252</v>
      </c>
      <c r="F9" s="41" t="s">
        <v>159</v>
      </c>
      <c r="G9" s="41" t="s">
        <v>253</v>
      </c>
      <c r="H9" s="41" t="s">
        <v>254</v>
      </c>
      <c r="I9" s="41" t="s">
        <v>248</v>
      </c>
    </row>
    <row r="10" customFormat="false" ht="15" hidden="false" customHeight="true" outlineLevel="0" collapsed="false">
      <c r="A10" s="40" t="s">
        <v>255</v>
      </c>
      <c r="B10" s="41" t="s">
        <v>237</v>
      </c>
      <c r="C10" s="41" t="s">
        <v>256</v>
      </c>
      <c r="D10" s="41" t="s">
        <v>257</v>
      </c>
      <c r="E10" s="41" t="s">
        <v>258</v>
      </c>
      <c r="F10" s="41" t="s">
        <v>259</v>
      </c>
      <c r="G10" s="41" t="s">
        <v>260</v>
      </c>
      <c r="H10" s="41" t="s">
        <v>261</v>
      </c>
      <c r="I10" s="41" t="s">
        <v>248</v>
      </c>
    </row>
    <row r="11" customFormat="false" ht="15" hidden="false" customHeight="true" outlineLevel="0" collapsed="false">
      <c r="A11" s="40" t="s">
        <v>262</v>
      </c>
      <c r="B11" s="41" t="s">
        <v>226</v>
      </c>
      <c r="C11" s="41" t="s">
        <v>227</v>
      </c>
      <c r="D11" s="41" t="s">
        <v>263</v>
      </c>
      <c r="E11" s="41" t="s">
        <v>214</v>
      </c>
      <c r="F11" s="41" t="s">
        <v>215</v>
      </c>
      <c r="G11" s="41" t="s">
        <v>264</v>
      </c>
      <c r="H11" s="41" t="s">
        <v>265</v>
      </c>
      <c r="I11" s="41" t="s">
        <v>266</v>
      </c>
    </row>
    <row r="12" customFormat="false" ht="15" hidden="false" customHeight="true" outlineLevel="0" collapsed="false">
      <c r="A12" s="40" t="s">
        <v>267</v>
      </c>
      <c r="B12" s="41" t="s">
        <v>231</v>
      </c>
      <c r="C12" s="41" t="s">
        <v>268</v>
      </c>
      <c r="D12" s="41" t="s">
        <v>269</v>
      </c>
      <c r="E12" s="41" t="s">
        <v>270</v>
      </c>
      <c r="F12" s="41" t="s">
        <v>271</v>
      </c>
      <c r="G12" s="41" t="s">
        <v>214</v>
      </c>
      <c r="H12" s="41" t="s">
        <v>272</v>
      </c>
      <c r="I12" s="41" t="s">
        <v>266</v>
      </c>
    </row>
    <row r="13" customFormat="false" ht="15" hidden="false" customHeight="true" outlineLevel="0" collapsed="false">
      <c r="A13" s="40" t="s">
        <v>273</v>
      </c>
      <c r="B13" s="41" t="s">
        <v>231</v>
      </c>
      <c r="C13" s="41" t="s">
        <v>250</v>
      </c>
      <c r="D13" s="41" t="s">
        <v>269</v>
      </c>
      <c r="E13" s="41" t="s">
        <v>234</v>
      </c>
      <c r="F13" s="41" t="s">
        <v>235</v>
      </c>
      <c r="G13" s="41" t="s">
        <v>221</v>
      </c>
      <c r="H13" s="41" t="s">
        <v>168</v>
      </c>
      <c r="I13" s="41" t="s">
        <v>266</v>
      </c>
    </row>
    <row r="14" customFormat="false" ht="15" hidden="false" customHeight="true" outlineLevel="0" collapsed="false">
      <c r="A14" s="40" t="s">
        <v>274</v>
      </c>
      <c r="B14" s="41" t="s">
        <v>226</v>
      </c>
      <c r="C14" s="41" t="s">
        <v>275</v>
      </c>
      <c r="D14" s="41" t="s">
        <v>276</v>
      </c>
      <c r="E14" s="41" t="s">
        <v>179</v>
      </c>
      <c r="F14" s="41" t="s">
        <v>277</v>
      </c>
      <c r="G14" s="41" t="s">
        <v>182</v>
      </c>
      <c r="H14" s="41" t="s">
        <v>189</v>
      </c>
      <c r="I14" s="41" t="s">
        <v>278</v>
      </c>
    </row>
    <row r="15" customFormat="false" ht="15" hidden="false" customHeight="true" outlineLevel="0" collapsed="false">
      <c r="A15" s="40" t="s">
        <v>279</v>
      </c>
      <c r="B15" s="41" t="s">
        <v>237</v>
      </c>
      <c r="C15" s="41" t="s">
        <v>280</v>
      </c>
      <c r="D15" s="41" t="s">
        <v>281</v>
      </c>
      <c r="E15" s="41" t="s">
        <v>189</v>
      </c>
      <c r="F15" s="41" t="s">
        <v>190</v>
      </c>
      <c r="G15" s="41" t="s">
        <v>282</v>
      </c>
      <c r="H15" s="41" t="s">
        <v>283</v>
      </c>
      <c r="I15" s="41" t="s">
        <v>278</v>
      </c>
    </row>
    <row r="16" customFormat="false" ht="15" hidden="false" customHeight="true" outlineLevel="0" collapsed="false">
      <c r="A16" s="40" t="s">
        <v>284</v>
      </c>
      <c r="B16" s="41" t="s">
        <v>237</v>
      </c>
      <c r="C16" s="41" t="s">
        <v>285</v>
      </c>
      <c r="D16" s="41" t="s">
        <v>286</v>
      </c>
      <c r="E16" s="41" t="s">
        <v>287</v>
      </c>
      <c r="F16" s="41" t="s">
        <v>288</v>
      </c>
      <c r="G16" s="41" t="s">
        <v>181</v>
      </c>
      <c r="H16" s="41" t="s">
        <v>189</v>
      </c>
      <c r="I16" s="41" t="s">
        <v>278</v>
      </c>
    </row>
    <row r="17" customFormat="false" ht="15" hidden="false" customHeight="true" outlineLevel="0" collapsed="false">
      <c r="A17" s="40" t="s">
        <v>289</v>
      </c>
      <c r="B17" s="41" t="s">
        <v>226</v>
      </c>
      <c r="C17" s="41" t="s">
        <v>290</v>
      </c>
      <c r="D17" s="41" t="s">
        <v>291</v>
      </c>
      <c r="E17" s="41" t="s">
        <v>292</v>
      </c>
      <c r="F17" s="41" t="s">
        <v>293</v>
      </c>
      <c r="G17" s="41" t="s">
        <v>294</v>
      </c>
      <c r="H17" s="41" t="s">
        <v>295</v>
      </c>
      <c r="I17" s="41" t="s">
        <v>296</v>
      </c>
    </row>
    <row r="18" customFormat="false" ht="15" hidden="false" customHeight="true" outlineLevel="0" collapsed="false">
      <c r="A18" s="40" t="s">
        <v>297</v>
      </c>
      <c r="B18" s="41" t="s">
        <v>231</v>
      </c>
      <c r="C18" s="41" t="s">
        <v>268</v>
      </c>
      <c r="D18" s="41" t="s">
        <v>298</v>
      </c>
      <c r="E18" s="41" t="s">
        <v>299</v>
      </c>
      <c r="F18" s="41" t="s">
        <v>185</v>
      </c>
      <c r="G18" s="41" t="s">
        <v>300</v>
      </c>
      <c r="H18" s="41" t="s">
        <v>301</v>
      </c>
      <c r="I18" s="41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18"/>
  </cols>
  <sheetData>
    <row r="1" customFormat="false" ht="15" hidden="false" customHeight="true" outlineLevel="0" collapsed="false">
      <c r="A1" s="37" t="s">
        <v>302</v>
      </c>
      <c r="B1" s="37" t="s">
        <v>303</v>
      </c>
      <c r="C1" s="37" t="s">
        <v>304</v>
      </c>
      <c r="D1" s="37" t="s">
        <v>305</v>
      </c>
    </row>
    <row r="2" customFormat="false" ht="15" hidden="false" customHeight="true" outlineLevel="0" collapsed="false">
      <c r="A2" s="40" t="s">
        <v>306</v>
      </c>
      <c r="B2" s="41" t="s">
        <v>307</v>
      </c>
      <c r="C2" s="41" t="s">
        <v>308</v>
      </c>
      <c r="D2" s="41" t="s">
        <v>309</v>
      </c>
    </row>
    <row r="3" customFormat="false" ht="15" hidden="false" customHeight="true" outlineLevel="0" collapsed="false">
      <c r="A3" s="40" t="s">
        <v>310</v>
      </c>
      <c r="B3" s="41" t="s">
        <v>311</v>
      </c>
      <c r="C3" s="41" t="s">
        <v>312</v>
      </c>
      <c r="D3" s="41" t="s">
        <v>313</v>
      </c>
    </row>
    <row r="4" customFormat="false" ht="15" hidden="false" customHeight="true" outlineLevel="0" collapsed="false">
      <c r="A4" s="40" t="s">
        <v>314</v>
      </c>
      <c r="B4" s="41" t="s">
        <v>315</v>
      </c>
      <c r="C4" s="41" t="s">
        <v>316</v>
      </c>
      <c r="D4" s="41" t="s">
        <v>313</v>
      </c>
    </row>
    <row r="5" customFormat="false" ht="15" hidden="false" customHeight="true" outlineLevel="0" collapsed="false">
      <c r="A5" s="40" t="s">
        <v>317</v>
      </c>
      <c r="B5" s="41" t="s">
        <v>318</v>
      </c>
      <c r="C5" s="41" t="s">
        <v>319</v>
      </c>
      <c r="D5" s="41" t="s">
        <v>313</v>
      </c>
    </row>
    <row r="6" customFormat="false" ht="15" hidden="false" customHeight="true" outlineLevel="0" collapsed="false">
      <c r="A6" s="40" t="s">
        <v>320</v>
      </c>
      <c r="B6" s="41" t="s">
        <v>321</v>
      </c>
      <c r="C6" s="41" t="s">
        <v>322</v>
      </c>
      <c r="D6" s="41" t="s">
        <v>313</v>
      </c>
    </row>
    <row r="7" customFormat="false" ht="15" hidden="false" customHeight="true" outlineLevel="0" collapsed="false">
      <c r="A7" s="40" t="s">
        <v>323</v>
      </c>
      <c r="B7" s="41" t="s">
        <v>324</v>
      </c>
      <c r="C7" s="41" t="s">
        <v>325</v>
      </c>
      <c r="D7" s="41" t="s">
        <v>309</v>
      </c>
    </row>
    <row r="8" customFormat="false" ht="15" hidden="false" customHeight="true" outlineLevel="0" collapsed="false">
      <c r="A8" s="40" t="s">
        <v>326</v>
      </c>
      <c r="B8" s="41" t="s">
        <v>327</v>
      </c>
      <c r="C8" s="41" t="s">
        <v>328</v>
      </c>
      <c r="D8" s="41" t="s">
        <v>313</v>
      </c>
    </row>
    <row r="9" customFormat="false" ht="15" hidden="false" customHeight="true" outlineLevel="0" collapsed="false">
      <c r="A9" s="38" t="s">
        <v>329</v>
      </c>
      <c r="B9" s="39" t="s">
        <v>330</v>
      </c>
      <c r="C9" s="39" t="s">
        <v>331</v>
      </c>
      <c r="D9" s="39" t="s">
        <v>332</v>
      </c>
    </row>
    <row r="10" customFormat="false" ht="15" hidden="false" customHeight="true" outlineLevel="0" collapsed="false">
      <c r="A10" s="40" t="s">
        <v>333</v>
      </c>
      <c r="B10" s="41" t="s">
        <v>334</v>
      </c>
      <c r="C10" s="41" t="s">
        <v>335</v>
      </c>
      <c r="D10" s="41" t="s">
        <v>313</v>
      </c>
    </row>
    <row r="11" customFormat="false" ht="15" hidden="false" customHeight="true" outlineLevel="0" collapsed="false">
      <c r="A11" s="38" t="s">
        <v>336</v>
      </c>
      <c r="B11" s="39" t="s">
        <v>337</v>
      </c>
      <c r="C11" s="39" t="s">
        <v>338</v>
      </c>
      <c r="D11" s="39" t="s">
        <v>339</v>
      </c>
    </row>
    <row r="12" customFormat="false" ht="15" hidden="false" customHeight="true" outlineLevel="0" collapsed="false">
      <c r="A12" s="40" t="s">
        <v>340</v>
      </c>
      <c r="B12" s="41" t="s">
        <v>341</v>
      </c>
      <c r="C12" s="41" t="s">
        <v>342</v>
      </c>
      <c r="D12" s="41" t="s">
        <v>313</v>
      </c>
    </row>
    <row r="13" customFormat="false" ht="15" hidden="false" customHeight="true" outlineLevel="0" collapsed="false">
      <c r="A13" s="40" t="s">
        <v>343</v>
      </c>
      <c r="B13" s="41" t="s">
        <v>344</v>
      </c>
      <c r="C13" s="41" t="s">
        <v>345</v>
      </c>
      <c r="D13" s="41" t="s">
        <v>313</v>
      </c>
    </row>
    <row r="14" customFormat="false" ht="15" hidden="false" customHeight="true" outlineLevel="0" collapsed="false">
      <c r="A14" s="40" t="s">
        <v>52</v>
      </c>
      <c r="B14" s="41" t="s">
        <v>346</v>
      </c>
      <c r="C14" s="41" t="s">
        <v>347</v>
      </c>
      <c r="D14" s="41" t="s">
        <v>348</v>
      </c>
    </row>
    <row r="15" customFormat="false" ht="15" hidden="false" customHeight="true" outlineLevel="0" collapsed="false">
      <c r="A15" s="40" t="s">
        <v>53</v>
      </c>
      <c r="B15" s="41" t="s">
        <v>349</v>
      </c>
      <c r="C15" s="41" t="s">
        <v>350</v>
      </c>
      <c r="D15" s="41" t="s">
        <v>313</v>
      </c>
    </row>
    <row r="16" customFormat="false" ht="15" hidden="false" customHeight="true" outlineLevel="0" collapsed="false">
      <c r="A16" s="40" t="s">
        <v>53</v>
      </c>
      <c r="B16" s="41" t="s">
        <v>351</v>
      </c>
      <c r="C16" s="41" t="s">
        <v>352</v>
      </c>
      <c r="D16" s="41" t="s">
        <v>332</v>
      </c>
    </row>
    <row r="17" customFormat="false" ht="15" hidden="false" customHeight="true" outlineLevel="0" collapsed="false">
      <c r="A17" s="40" t="s">
        <v>54</v>
      </c>
      <c r="B17" s="41" t="s">
        <v>353</v>
      </c>
      <c r="C17" s="41" t="s">
        <v>354</v>
      </c>
      <c r="D17" s="41" t="s">
        <v>313</v>
      </c>
    </row>
    <row r="18" customFormat="false" ht="15" hidden="false" customHeight="true" outlineLevel="0" collapsed="false">
      <c r="A18" s="40" t="s">
        <v>355</v>
      </c>
      <c r="B18" s="41" t="s">
        <v>356</v>
      </c>
      <c r="C18" s="41" t="s">
        <v>357</v>
      </c>
      <c r="D18" s="41" t="s">
        <v>358</v>
      </c>
    </row>
    <row r="19" customFormat="false" ht="15" hidden="false" customHeight="true" outlineLevel="0" collapsed="false">
      <c r="A19" s="40" t="s">
        <v>359</v>
      </c>
      <c r="B19" s="41" t="s">
        <v>360</v>
      </c>
      <c r="C19" s="41" t="s">
        <v>361</v>
      </c>
      <c r="D19" s="41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45"/>
    <col collapsed="false" customWidth="true" hidden="false" outlineLevel="0" max="5" min="5" style="1" width="20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42" t="s">
        <v>362</v>
      </c>
    </row>
    <row r="2" customFormat="false" ht="15" hidden="false" customHeight="true" outlineLevel="0" collapsed="false">
      <c r="A2" s="43" t="s">
        <v>363</v>
      </c>
    </row>
    <row r="4" customFormat="false" ht="15" hidden="false" customHeight="true" outlineLevel="0" collapsed="false">
      <c r="A4" s="44" t="s">
        <v>364</v>
      </c>
      <c r="B4" s="44" t="s">
        <v>365</v>
      </c>
      <c r="C4" s="44" t="s">
        <v>366</v>
      </c>
      <c r="D4" s="44" t="s">
        <v>367</v>
      </c>
    </row>
    <row r="5" customFormat="false" ht="15" hidden="false" customHeight="true" outlineLevel="0" collapsed="false">
      <c r="A5" s="45" t="s">
        <v>368</v>
      </c>
      <c r="B5" s="46" t="s">
        <v>369</v>
      </c>
      <c r="C5" s="46" t="s">
        <v>370</v>
      </c>
      <c r="D5" s="46" t="s">
        <v>371</v>
      </c>
    </row>
    <row r="6" customFormat="false" ht="15" hidden="false" customHeight="true" outlineLevel="0" collapsed="false">
      <c r="A6" s="45" t="s">
        <v>288</v>
      </c>
      <c r="B6" s="46" t="s">
        <v>369</v>
      </c>
      <c r="C6" s="46" t="s">
        <v>372</v>
      </c>
      <c r="D6" s="46" t="s">
        <v>373</v>
      </c>
    </row>
    <row r="7" customFormat="false" ht="15" hidden="false" customHeight="true" outlineLevel="0" collapsed="false">
      <c r="A7" s="45" t="s">
        <v>374</v>
      </c>
      <c r="B7" s="46" t="s">
        <v>375</v>
      </c>
      <c r="C7" s="46" t="s">
        <v>376</v>
      </c>
      <c r="D7" s="46" t="s">
        <v>377</v>
      </c>
    </row>
    <row r="8" customFormat="false" ht="15" hidden="false" customHeight="true" outlineLevel="0" collapsed="false">
      <c r="A8" s="45" t="s">
        <v>378</v>
      </c>
      <c r="B8" s="46" t="s">
        <v>375</v>
      </c>
      <c r="C8" s="46" t="s">
        <v>379</v>
      </c>
      <c r="D8" s="46" t="s">
        <v>380</v>
      </c>
    </row>
    <row r="9" customFormat="false" ht="15" hidden="false" customHeight="true" outlineLevel="0" collapsed="false">
      <c r="A9" s="45" t="s">
        <v>381</v>
      </c>
      <c r="B9" s="46" t="s">
        <v>375</v>
      </c>
      <c r="C9" s="46" t="s">
        <v>382</v>
      </c>
      <c r="D9" s="46" t="s">
        <v>383</v>
      </c>
    </row>
    <row r="10" customFormat="false" ht="15" hidden="false" customHeight="true" outlineLevel="0" collapsed="false">
      <c r="A10" s="47" t="s">
        <v>384</v>
      </c>
      <c r="B10" s="48" t="s">
        <v>375</v>
      </c>
      <c r="C10" s="48" t="s">
        <v>385</v>
      </c>
      <c r="D10" s="48" t="s">
        <v>386</v>
      </c>
    </row>
    <row r="13" customFormat="false" ht="17.25" hidden="false" customHeight="true" outlineLevel="0" collapsed="false">
      <c r="A13" s="42" t="s">
        <v>387</v>
      </c>
    </row>
    <row r="15" customFormat="false" ht="15" hidden="false" customHeight="true" outlineLevel="0" collapsed="false">
      <c r="A15" s="49" t="s">
        <v>388</v>
      </c>
      <c r="B15" s="49" t="s">
        <v>389</v>
      </c>
      <c r="C15" s="49" t="s">
        <v>390</v>
      </c>
      <c r="D15" s="49" t="s">
        <v>391</v>
      </c>
      <c r="E15" s="49" t="s">
        <v>392</v>
      </c>
      <c r="F15" s="49" t="s">
        <v>393</v>
      </c>
    </row>
    <row r="16" customFormat="false" ht="21.75" hidden="false" customHeight="true" outlineLevel="0" collapsed="false">
      <c r="A16" s="50" t="s">
        <v>394</v>
      </c>
      <c r="B16" s="50" t="s">
        <v>395</v>
      </c>
      <c r="C16" s="50" t="s">
        <v>396</v>
      </c>
      <c r="D16" s="50" t="s">
        <v>397</v>
      </c>
      <c r="E16" s="50" t="s">
        <v>138</v>
      </c>
      <c r="F16" s="51" t="s">
        <v>398</v>
      </c>
    </row>
    <row r="17" customFormat="false" ht="15" hidden="false" customHeight="true" outlineLevel="0" collapsed="false">
      <c r="A17" s="50" t="s">
        <v>394</v>
      </c>
      <c r="B17" s="50" t="s">
        <v>395</v>
      </c>
      <c r="C17" s="50" t="s">
        <v>396</v>
      </c>
      <c r="D17" s="50" t="s">
        <v>399</v>
      </c>
      <c r="E17" s="50" t="s">
        <v>138</v>
      </c>
      <c r="F17" s="51" t="s">
        <v>400</v>
      </c>
    </row>
    <row r="18" customFormat="false" ht="15" hidden="false" customHeight="true" outlineLevel="0" collapsed="false">
      <c r="A18" s="50" t="s">
        <v>394</v>
      </c>
      <c r="B18" s="50" t="s">
        <v>395</v>
      </c>
      <c r="C18" s="50" t="s">
        <v>401</v>
      </c>
      <c r="D18" s="50" t="s">
        <v>402</v>
      </c>
      <c r="E18" s="50" t="s">
        <v>138</v>
      </c>
      <c r="F18" s="51" t="s">
        <v>403</v>
      </c>
    </row>
    <row r="19" customFormat="false" ht="15" hidden="false" customHeight="true" outlineLevel="0" collapsed="false">
      <c r="A19" s="50" t="s">
        <v>394</v>
      </c>
      <c r="B19" s="50" t="s">
        <v>395</v>
      </c>
      <c r="C19" s="50" t="s">
        <v>401</v>
      </c>
      <c r="D19" s="50" t="s">
        <v>404</v>
      </c>
      <c r="E19" s="50" t="s">
        <v>138</v>
      </c>
      <c r="F19" s="51" t="s">
        <v>405</v>
      </c>
    </row>
    <row r="20" customFormat="false" ht="15" hidden="false" customHeight="true" outlineLevel="0" collapsed="false">
      <c r="A20" s="50" t="s">
        <v>394</v>
      </c>
      <c r="B20" s="50" t="s">
        <v>395</v>
      </c>
      <c r="C20" s="50" t="s">
        <v>401</v>
      </c>
      <c r="D20" s="50" t="s">
        <v>406</v>
      </c>
      <c r="E20" s="50" t="s">
        <v>138</v>
      </c>
      <c r="F20" s="51" t="s">
        <v>407</v>
      </c>
    </row>
    <row r="21" customFormat="false" ht="15" hidden="false" customHeight="true" outlineLevel="0" collapsed="false">
      <c r="A21" s="50" t="s">
        <v>378</v>
      </c>
      <c r="B21" s="50" t="s">
        <v>138</v>
      </c>
      <c r="C21" s="50" t="s">
        <v>408</v>
      </c>
      <c r="D21" s="50" t="s">
        <v>409</v>
      </c>
      <c r="E21" s="50" t="s">
        <v>410</v>
      </c>
      <c r="F21" s="51" t="s">
        <v>411</v>
      </c>
    </row>
    <row r="22" customFormat="false" ht="21.75" hidden="false" customHeight="true" outlineLevel="0" collapsed="false">
      <c r="A22" s="50" t="s">
        <v>378</v>
      </c>
      <c r="B22" s="50" t="s">
        <v>138</v>
      </c>
      <c r="C22" s="50" t="s">
        <v>408</v>
      </c>
      <c r="D22" s="50" t="s">
        <v>412</v>
      </c>
      <c r="E22" s="50" t="s">
        <v>413</v>
      </c>
      <c r="F22" s="51" t="s">
        <v>414</v>
      </c>
    </row>
    <row r="23" customFormat="false" ht="21.75" hidden="false" customHeight="true" outlineLevel="0" collapsed="false">
      <c r="A23" s="50" t="s">
        <v>378</v>
      </c>
      <c r="B23" s="50" t="s">
        <v>138</v>
      </c>
      <c r="C23" s="50" t="s">
        <v>401</v>
      </c>
      <c r="D23" s="50" t="s">
        <v>415</v>
      </c>
      <c r="E23" s="50" t="s">
        <v>138</v>
      </c>
      <c r="F23" s="51" t="s">
        <v>416</v>
      </c>
    </row>
    <row r="24" customFormat="false" ht="21.75" hidden="false" customHeight="true" outlineLevel="0" collapsed="false">
      <c r="A24" s="50" t="s">
        <v>378</v>
      </c>
      <c r="B24" s="50" t="s">
        <v>138</v>
      </c>
      <c r="C24" s="50" t="s">
        <v>401</v>
      </c>
      <c r="D24" s="50" t="s">
        <v>417</v>
      </c>
      <c r="E24" s="50" t="s">
        <v>138</v>
      </c>
      <c r="F24" s="51" t="s">
        <v>418</v>
      </c>
    </row>
    <row r="25" customFormat="false" ht="21.75" hidden="false" customHeight="true" outlineLevel="0" collapsed="false">
      <c r="A25" s="50" t="s">
        <v>378</v>
      </c>
      <c r="B25" s="50" t="s">
        <v>138</v>
      </c>
      <c r="C25" s="50" t="s">
        <v>419</v>
      </c>
      <c r="D25" s="50" t="s">
        <v>420</v>
      </c>
      <c r="E25" s="50" t="s">
        <v>138</v>
      </c>
      <c r="F25" s="51" t="s">
        <v>421</v>
      </c>
    </row>
    <row r="26" customFormat="false" ht="15" hidden="false" customHeight="true" outlineLevel="0" collapsed="false">
      <c r="A26" s="50" t="s">
        <v>384</v>
      </c>
      <c r="B26" s="50" t="s">
        <v>138</v>
      </c>
      <c r="C26" s="50" t="s">
        <v>422</v>
      </c>
      <c r="D26" s="50" t="s">
        <v>423</v>
      </c>
      <c r="E26" s="50" t="s">
        <v>138</v>
      </c>
      <c r="F26" s="51" t="s">
        <v>424</v>
      </c>
    </row>
    <row r="29" customFormat="false" ht="17.25" hidden="false" customHeight="true" outlineLevel="0" collapsed="false">
      <c r="A29" s="42" t="s">
        <v>425</v>
      </c>
    </row>
    <row r="31" customFormat="false" ht="15" hidden="false" customHeight="true" outlineLevel="0" collapsed="false">
      <c r="A31" s="52" t="s">
        <v>131</v>
      </c>
      <c r="B31" s="52" t="s">
        <v>426</v>
      </c>
      <c r="C31" s="52" t="s">
        <v>427</v>
      </c>
    </row>
    <row r="32" customFormat="false" ht="15" hidden="false" customHeight="true" outlineLevel="0" collapsed="false">
      <c r="A32" s="46" t="s">
        <v>428</v>
      </c>
      <c r="B32" s="45" t="s">
        <v>429</v>
      </c>
      <c r="C32" s="53" t="s">
        <v>430</v>
      </c>
    </row>
    <row r="33" customFormat="false" ht="15" hidden="false" customHeight="true" outlineLevel="0" collapsed="false">
      <c r="A33" s="46" t="s">
        <v>431</v>
      </c>
      <c r="B33" s="45" t="s">
        <v>432</v>
      </c>
      <c r="C33" s="53" t="s">
        <v>433</v>
      </c>
    </row>
    <row r="34" customFormat="false" ht="15" hidden="false" customHeight="true" outlineLevel="0" collapsed="false">
      <c r="A34" s="46" t="s">
        <v>434</v>
      </c>
      <c r="B34" s="45" t="s">
        <v>435</v>
      </c>
      <c r="C34" s="53" t="s">
        <v>436</v>
      </c>
    </row>
    <row r="35" customFormat="false" ht="15" hidden="false" customHeight="true" outlineLevel="0" collapsed="false">
      <c r="A35" s="46" t="s">
        <v>437</v>
      </c>
      <c r="B35" s="45" t="s">
        <v>438</v>
      </c>
      <c r="C35" s="53" t="s">
        <v>439</v>
      </c>
    </row>
    <row r="36" customFormat="false" ht="15" hidden="false" customHeight="true" outlineLevel="0" collapsed="false">
      <c r="A36" s="46" t="s">
        <v>440</v>
      </c>
      <c r="B36" s="45" t="s">
        <v>441</v>
      </c>
      <c r="C36" s="53" t="s">
        <v>442</v>
      </c>
    </row>
    <row r="37" customFormat="false" ht="15" hidden="false" customHeight="true" outlineLevel="0" collapsed="false">
      <c r="A37" s="46" t="s">
        <v>443</v>
      </c>
      <c r="B37" s="45" t="s">
        <v>444</v>
      </c>
      <c r="C37" s="53" t="s">
        <v>445</v>
      </c>
    </row>
    <row r="38" customFormat="false" ht="15" hidden="false" customHeight="true" outlineLevel="0" collapsed="false">
      <c r="A38" s="46" t="s">
        <v>446</v>
      </c>
      <c r="B38" s="45" t="s">
        <v>447</v>
      </c>
      <c r="C38" s="53" t="s">
        <v>448</v>
      </c>
    </row>
    <row r="39" customFormat="false" ht="15" hidden="false" customHeight="true" outlineLevel="0" collapsed="false">
      <c r="A39" s="46" t="s">
        <v>449</v>
      </c>
      <c r="B39" s="45" t="s">
        <v>450</v>
      </c>
      <c r="C39" s="53" t="s">
        <v>451</v>
      </c>
    </row>
    <row r="40" customFormat="false" ht="15" hidden="false" customHeight="true" outlineLevel="0" collapsed="false">
      <c r="A40" s="46" t="s">
        <v>452</v>
      </c>
      <c r="B40" s="45" t="s">
        <v>453</v>
      </c>
      <c r="C40" s="53" t="s">
        <v>454</v>
      </c>
    </row>
    <row r="41" customFormat="false" ht="15" hidden="false" customHeight="true" outlineLevel="0" collapsed="false">
      <c r="A41" s="46" t="s">
        <v>455</v>
      </c>
      <c r="B41" s="45" t="s">
        <v>456</v>
      </c>
      <c r="C41" s="53" t="s">
        <v>457</v>
      </c>
    </row>
    <row r="42" customFormat="false" ht="15" hidden="false" customHeight="true" outlineLevel="0" collapsed="false">
      <c r="A42" s="46" t="s">
        <v>143</v>
      </c>
      <c r="B42" s="45" t="s">
        <v>458</v>
      </c>
      <c r="C42" s="53" t="s">
        <v>459</v>
      </c>
    </row>
    <row r="43" customFormat="false" ht="15" hidden="false" customHeight="true" outlineLevel="0" collapsed="false">
      <c r="A43" s="46" t="s">
        <v>460</v>
      </c>
      <c r="B43" s="45" t="s">
        <v>461</v>
      </c>
      <c r="C43" s="53" t="s">
        <v>462</v>
      </c>
    </row>
    <row r="44" customFormat="false" ht="15" hidden="false" customHeight="true" outlineLevel="0" collapsed="false">
      <c r="A44" s="46" t="s">
        <v>463</v>
      </c>
      <c r="B44" s="45" t="s">
        <v>464</v>
      </c>
      <c r="C44" s="53" t="s">
        <v>465</v>
      </c>
    </row>
    <row r="45" customFormat="false" ht="15" hidden="false" customHeight="true" outlineLevel="0" collapsed="false">
      <c r="A45" s="46" t="s">
        <v>466</v>
      </c>
      <c r="B45" s="45" t="s">
        <v>467</v>
      </c>
      <c r="C45" s="53" t="s">
        <v>468</v>
      </c>
    </row>
    <row r="46" customFormat="false" ht="15" hidden="false" customHeight="true" outlineLevel="0" collapsed="false">
      <c r="A46" s="46" t="s">
        <v>412</v>
      </c>
      <c r="B46" s="45" t="s">
        <v>414</v>
      </c>
      <c r="C46" s="53" t="s">
        <v>469</v>
      </c>
    </row>
    <row r="47" customFormat="false" ht="15" hidden="false" customHeight="true" outlineLevel="0" collapsed="false">
      <c r="A47" s="46" t="s">
        <v>470</v>
      </c>
      <c r="B47" s="45" t="s">
        <v>471</v>
      </c>
      <c r="C47" s="53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2026-03-06T12:12:33Z</dcterms:created>
  <dc:creator>openpyxl</dc:creator>
  <dc:description/>
  <dc:language>en-US</dc:language>
  <cp:lastModifiedBy/>
  <dcterms:modified xsi:type="dcterms:W3CDTF">2026-03-09T20:03:12Z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